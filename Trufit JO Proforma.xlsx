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M1\Desktop\TAC PROFORMA\"/>
    </mc:Choice>
  </mc:AlternateContent>
  <xr:revisionPtr revIDLastSave="0" documentId="13_ncr:1_{9A43C10E-D7DD-4B83-8E2F-196D27F8B358}" xr6:coauthVersionLast="45" xr6:coauthVersionMax="45" xr10:uidLastSave="{00000000-0000-0000-0000-000000000000}"/>
  <bookViews>
    <workbookView xWindow="-120" yWindow="-120" windowWidth="29040" windowHeight="15840" activeTab="2" xr2:uid="{00000000-000D-0000-FFFF-FFFF00000000}"/>
  </bookViews>
  <sheets>
    <sheet name="JOB ORDER" sheetId="7" r:id="rId1"/>
    <sheet name="BILLING" sheetId="9" r:id="rId2"/>
    <sheet name="JOB ESTIMATE" sheetId="4" r:id="rId3"/>
    <sheet name="SCANNED DOCS" sheetId="13" r:id="rId4"/>
    <sheet name="JOB REQUEST TECH" sheetId="2" r:id="rId5"/>
    <sheet name="PMRIS" sheetId="12" r:id="rId6"/>
    <sheet name="UPDATE SHEET" sheetId="11" r:id="rId7"/>
    <sheet name="SCANNED DOCS (2)" sheetId="16" r:id="rId8"/>
    <sheet name="PRICE" sheetId="14" r:id="rId9"/>
  </sheets>
  <definedNames>
    <definedName name="_xlnm.Print_Area" localSheetId="1">BILLING!$A$1:$M$63</definedName>
    <definedName name="_xlnm.Print_Area" localSheetId="2">'JOB ESTIMATE'!$A$1:$M$58</definedName>
    <definedName name="_xlnm.Print_Area" localSheetId="0">'JOB ORDER'!$A$1:$M$67</definedName>
    <definedName name="_xlnm.Print_Area" localSheetId="4">'JOB REQUEST TECH'!$A$1:$F$43</definedName>
    <definedName name="_xlnm.Print_Area" localSheetId="6">'UPDATE SHEET'!$A$1:$H$25</definedName>
    <definedName name="_xlnm.Print_Titles" localSheetId="1">BILLING!$1:$19</definedName>
    <definedName name="_xlnm.Print_Titles" localSheetId="2">'JOB ESTIMATE'!$1:$19</definedName>
  </definedNames>
  <calcPr calcId="181029"/>
  <customWorkbookViews>
    <customWorkbookView name="print" guid="{C6C9D365-9CBD-4E82-B926-462D1894A3DD}" includeHiddenRowCol="0" maximized="1" windowWidth="1362" windowHeight="523"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9" i="7" l="1"/>
  <c r="K41" i="9"/>
  <c r="K40" i="9"/>
  <c r="K20" i="9"/>
  <c r="E20" i="9"/>
  <c r="K18" i="9"/>
  <c r="H18" i="9"/>
  <c r="H15" i="9"/>
  <c r="H9" i="9"/>
  <c r="H11" i="9"/>
  <c r="G14" i="9"/>
  <c r="G13" i="9"/>
  <c r="C12" i="9"/>
  <c r="C9" i="9"/>
  <c r="C18" i="9"/>
  <c r="A14" i="9"/>
  <c r="A9" i="9"/>
  <c r="B5" i="2" l="1"/>
  <c r="C12" i="12" l="1"/>
  <c r="C13" i="12"/>
  <c r="C14" i="12"/>
  <c r="C15" i="12"/>
  <c r="C16" i="12"/>
  <c r="C17" i="12"/>
  <c r="C11" i="12"/>
  <c r="E42" i="9" l="1"/>
  <c r="E43" i="9"/>
  <c r="E44" i="9"/>
  <c r="E45" i="9"/>
  <c r="E46" i="9"/>
  <c r="K46" i="9"/>
  <c r="M46" i="9" s="1"/>
  <c r="M40" i="9"/>
  <c r="I40" i="9"/>
  <c r="E6" i="12"/>
  <c r="A6" i="12"/>
  <c r="E4" i="12"/>
  <c r="A4" i="12"/>
  <c r="E1" i="12"/>
  <c r="B1" i="12"/>
  <c r="C20" i="12" l="1"/>
  <c r="C21" i="12"/>
  <c r="C22" i="12"/>
  <c r="C23" i="12"/>
  <c r="C24" i="12"/>
  <c r="C25" i="12"/>
  <c r="C26" i="12"/>
  <c r="M34" i="4"/>
  <c r="E22" i="7"/>
  <c r="E23" i="7"/>
  <c r="E24" i="7"/>
  <c r="E25" i="7"/>
  <c r="E26" i="7"/>
  <c r="E27" i="7"/>
  <c r="E28" i="7"/>
  <c r="E29" i="7"/>
  <c r="E30" i="7"/>
  <c r="E31" i="7"/>
  <c r="A14" i="7" l="1"/>
  <c r="A12" i="7"/>
  <c r="A11" i="7"/>
  <c r="F18" i="7"/>
  <c r="F17" i="7"/>
  <c r="G14" i="7"/>
  <c r="G13" i="7"/>
  <c r="A16" i="7"/>
  <c r="K18" i="7"/>
  <c r="H18" i="7"/>
  <c r="C18" i="7"/>
  <c r="H15" i="7" l="1"/>
  <c r="A11" i="12" l="1"/>
  <c r="H11" i="12" s="1"/>
  <c r="B11" i="12"/>
  <c r="I11" i="12" s="1"/>
  <c r="J11" i="12"/>
  <c r="A12" i="12"/>
  <c r="H12" i="12" s="1"/>
  <c r="B12" i="12"/>
  <c r="I12" i="12" s="1"/>
  <c r="J12" i="12"/>
  <c r="A13" i="12"/>
  <c r="H13" i="12" s="1"/>
  <c r="B13" i="12"/>
  <c r="I13" i="12" s="1"/>
  <c r="J13" i="12"/>
  <c r="A14" i="12"/>
  <c r="H14" i="12" s="1"/>
  <c r="B14" i="12"/>
  <c r="I14" i="12" s="1"/>
  <c r="J14" i="12"/>
  <c r="A15" i="12"/>
  <c r="H15" i="12" s="1"/>
  <c r="B15" i="12"/>
  <c r="I15" i="12" s="1"/>
  <c r="J15" i="12"/>
  <c r="A16" i="12"/>
  <c r="H16" i="12" s="1"/>
  <c r="B16" i="12"/>
  <c r="I16" i="12" s="1"/>
  <c r="J16" i="12"/>
  <c r="A17" i="12"/>
  <c r="H17" i="12" s="1"/>
  <c r="B17" i="12"/>
  <c r="I17" i="12" s="1"/>
  <c r="J17" i="12"/>
  <c r="A21" i="12"/>
  <c r="H21" i="12" s="1"/>
  <c r="J21" i="12"/>
  <c r="A22" i="12"/>
  <c r="H22" i="12" s="1"/>
  <c r="J22" i="12"/>
  <c r="A23" i="12"/>
  <c r="H23" i="12" s="1"/>
  <c r="J23" i="12"/>
  <c r="A24" i="12"/>
  <c r="H24" i="12" s="1"/>
  <c r="J24" i="12"/>
  <c r="A25" i="12"/>
  <c r="H25" i="12" s="1"/>
  <c r="J25" i="12"/>
  <c r="A26" i="12"/>
  <c r="H26" i="12" s="1"/>
  <c r="J26" i="12"/>
  <c r="J20" i="12" l="1"/>
  <c r="A20" i="12"/>
  <c r="H20" i="12" s="1"/>
  <c r="I42" i="9"/>
  <c r="I43" i="9"/>
  <c r="I44" i="9"/>
  <c r="I45" i="9"/>
  <c r="I46" i="9"/>
  <c r="E40" i="9"/>
  <c r="M37" i="4" l="1"/>
  <c r="M38" i="4"/>
  <c r="M39" i="4"/>
  <c r="M36" i="4"/>
  <c r="I33" i="9"/>
  <c r="I34" i="9"/>
  <c r="I35" i="9"/>
  <c r="I36" i="9"/>
  <c r="I32" i="9"/>
  <c r="M37" i="9"/>
  <c r="K42" i="9"/>
  <c r="M42" i="9" s="1"/>
  <c r="K43" i="9"/>
  <c r="M43" i="9" s="1"/>
  <c r="K44" i="9"/>
  <c r="M44" i="9" s="1"/>
  <c r="K45" i="9"/>
  <c r="M45" i="9" s="1"/>
  <c r="M41" i="9"/>
  <c r="D32" i="9"/>
  <c r="A32" i="9"/>
  <c r="M44" i="4"/>
  <c r="M45" i="4"/>
  <c r="M46" i="4"/>
  <c r="M47" i="4"/>
  <c r="M48" i="4"/>
  <c r="M50" i="4"/>
  <c r="M49" i="4"/>
  <c r="C228" i="14" l="1"/>
  <c r="C227" i="14"/>
  <c r="C226" i="14"/>
  <c r="C225" i="14"/>
  <c r="C224" i="14"/>
  <c r="C221" i="14"/>
  <c r="C220" i="14"/>
  <c r="C219" i="14"/>
  <c r="C218" i="14"/>
  <c r="C217" i="14"/>
  <c r="C216" i="14"/>
  <c r="C215" i="14"/>
  <c r="C214" i="14"/>
  <c r="C213" i="14"/>
  <c r="C212" i="14"/>
  <c r="C211" i="14"/>
  <c r="C210" i="14"/>
  <c r="C209"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0" i="14"/>
  <c r="C139" i="14"/>
  <c r="C138" i="14"/>
  <c r="C137" i="14"/>
  <c r="C136" i="14"/>
  <c r="C135" i="14"/>
  <c r="C134" i="14"/>
  <c r="C133" i="14"/>
  <c r="C132" i="14"/>
  <c r="C131" i="14"/>
  <c r="C130" i="14"/>
  <c r="C129" i="14"/>
  <c r="C128" i="14"/>
  <c r="C127" i="14"/>
  <c r="C126"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C19" i="12"/>
  <c r="J19" i="12" s="1"/>
  <c r="L6" i="12"/>
  <c r="H6" i="12"/>
  <c r="L4" i="12"/>
  <c r="H4" i="12"/>
  <c r="L1" i="12"/>
  <c r="I1" i="12"/>
  <c r="M40" i="4"/>
  <c r="M35" i="4"/>
  <c r="M30" i="4"/>
  <c r="M29" i="4"/>
  <c r="M28" i="4"/>
  <c r="M27" i="4"/>
  <c r="M26" i="4"/>
  <c r="M25" i="4"/>
  <c r="M24" i="4"/>
  <c r="M23" i="4"/>
  <c r="N14" i="4"/>
  <c r="M54" i="9"/>
  <c r="M52" i="9"/>
  <c r="M47" i="9"/>
  <c r="M38" i="9"/>
  <c r="K36" i="9"/>
  <c r="M36" i="9" s="1"/>
  <c r="D36" i="9"/>
  <c r="A36" i="9"/>
  <c r="K35" i="9"/>
  <c r="M35" i="9" s="1"/>
  <c r="D35" i="9"/>
  <c r="A35" i="9"/>
  <c r="K34" i="9"/>
  <c r="M34" i="9" s="1"/>
  <c r="D34" i="9"/>
  <c r="A34" i="9"/>
  <c r="K33" i="9"/>
  <c r="M33" i="9" s="1"/>
  <c r="D33" i="9"/>
  <c r="A33" i="9"/>
  <c r="K32" i="9"/>
  <c r="M32" i="9" s="1"/>
  <c r="K28" i="9"/>
  <c r="M28" i="9" s="1"/>
  <c r="E28" i="9"/>
  <c r="K27" i="9"/>
  <c r="M27" i="9" s="1"/>
  <c r="E27" i="9"/>
  <c r="K26" i="9"/>
  <c r="M26" i="9" s="1"/>
  <c r="E26" i="9"/>
  <c r="K25" i="9"/>
  <c r="M25" i="9" s="1"/>
  <c r="E25" i="9"/>
  <c r="K24" i="9"/>
  <c r="M24" i="9" s="1"/>
  <c r="E24" i="9"/>
  <c r="K23" i="9"/>
  <c r="M23" i="9" s="1"/>
  <c r="E23" i="9"/>
  <c r="K22" i="9"/>
  <c r="M22" i="9" s="1"/>
  <c r="E22" i="9"/>
  <c r="K21" i="9"/>
  <c r="M21" i="9" s="1"/>
  <c r="E21" i="9"/>
  <c r="M20" i="9"/>
  <c r="E21" i="7"/>
  <c r="C12" i="7"/>
  <c r="H11" i="7"/>
  <c r="C9" i="7"/>
  <c r="A9" i="7"/>
  <c r="M7" i="7"/>
  <c r="K7" i="7"/>
  <c r="N12" i="4" l="1"/>
  <c r="N13" i="4"/>
  <c r="M53" i="4"/>
  <c r="M56" i="4" s="1"/>
  <c r="N20" i="9"/>
  <c r="N15" i="4" l="1"/>
  <c r="M50" i="9"/>
  <c r="M53" i="9" s="1"/>
  <c r="M55" i="9" s="1"/>
  <c r="N22" i="9"/>
  <c r="M58" i="4"/>
  <c r="O58" i="4"/>
  <c r="N21" i="9"/>
  <c r="N23" i="9" l="1"/>
</calcChain>
</file>

<file path=xl/sharedStrings.xml><?xml version="1.0" encoding="utf-8"?>
<sst xmlns="http://schemas.openxmlformats.org/spreadsheetml/2006/main" count="465" uniqueCount="354">
  <si>
    <t>1042 Vinzons Ave. P1 Brgy. Gahonon Daet, Camarines Norte</t>
  </si>
  <si>
    <r>
      <rPr>
        <i/>
        <sz val="10.5"/>
        <color rgb="FF002060"/>
        <rFont val="Calibri"/>
        <family val="2"/>
        <scheme val="minor"/>
      </rPr>
      <t xml:space="preserve">Telephone No. </t>
    </r>
    <r>
      <rPr>
        <i/>
        <sz val="10.5"/>
        <color rgb="FFFF0000"/>
        <rFont val="Calibri"/>
        <family val="2"/>
        <scheme val="minor"/>
      </rPr>
      <t>09187747788 / 09757210388</t>
    </r>
  </si>
  <si>
    <r>
      <rPr>
        <i/>
        <sz val="10.5"/>
        <color rgb="FF002060"/>
        <rFont val="Calibri"/>
        <family val="2"/>
        <scheme val="minor"/>
      </rPr>
      <t>Email Add:</t>
    </r>
    <r>
      <rPr>
        <i/>
        <sz val="10.5"/>
        <color rgb="FFFF0000"/>
        <rFont val="Calibri"/>
        <family val="2"/>
        <scheme val="minor"/>
      </rPr>
      <t xml:space="preserve"> </t>
    </r>
    <r>
      <rPr>
        <i/>
        <u/>
        <sz val="10.5"/>
        <color rgb="FFFF0000"/>
        <rFont val="Calibri"/>
        <family val="2"/>
        <scheme val="minor"/>
      </rPr>
      <t>trufitautocenter@gmail.com</t>
    </r>
  </si>
  <si>
    <t>JOB ORDER</t>
  </si>
  <si>
    <t>Page 1 of 1</t>
  </si>
  <si>
    <t>Plate No.:</t>
  </si>
  <si>
    <t>Customer Name &amp; Address</t>
  </si>
  <si>
    <t>Home Phone No.</t>
  </si>
  <si>
    <t>Color</t>
  </si>
  <si>
    <t>Warranty Exp. Kms</t>
  </si>
  <si>
    <t>Payment Method</t>
  </si>
  <si>
    <t xml:space="preserve">          Cash</t>
  </si>
  <si>
    <t>Business Phone No:</t>
  </si>
  <si>
    <t>Year / Make / Model</t>
  </si>
  <si>
    <t>Selling Dealer</t>
  </si>
  <si>
    <t xml:space="preserve">          Credit Card</t>
  </si>
  <si>
    <t>Mobile No.</t>
  </si>
  <si>
    <t>Warr. Exp. Date</t>
  </si>
  <si>
    <t>Date/Time  Received</t>
  </si>
  <si>
    <t xml:space="preserve">          Cheque</t>
  </si>
  <si>
    <t>VIN / Serial No.</t>
  </si>
  <si>
    <t>Stock No.</t>
  </si>
  <si>
    <t>Released Date:</t>
  </si>
  <si>
    <t>Department / Team</t>
  </si>
  <si>
    <t>Maint. Code</t>
  </si>
  <si>
    <t>TIN</t>
  </si>
  <si>
    <t xml:space="preserve">          Charge Acct.</t>
  </si>
  <si>
    <t>Service Advisor No.</t>
  </si>
  <si>
    <t>Service Advisor Name</t>
  </si>
  <si>
    <t>Kilometers</t>
  </si>
  <si>
    <t>Engine No.</t>
  </si>
  <si>
    <t>Labour</t>
  </si>
  <si>
    <t>Operation</t>
  </si>
  <si>
    <t>Description</t>
  </si>
  <si>
    <t>RECOMMENDATION</t>
  </si>
  <si>
    <r>
      <rPr>
        <sz val="10.5"/>
        <rFont val="Calibri"/>
        <family val="2"/>
        <scheme val="minor"/>
      </rPr>
      <t xml:space="preserve">I hereby authorize </t>
    </r>
    <r>
      <rPr>
        <b/>
        <sz val="10.5"/>
        <rFont val="Calibri"/>
        <family val="2"/>
        <scheme val="minor"/>
      </rPr>
      <t>Trufit Auto Center</t>
    </r>
    <r>
      <rPr>
        <sz val="10.5"/>
        <rFont val="Calibri"/>
        <family val="2"/>
        <scheme val="minor"/>
      </rPr>
      <t xml:space="preserve"> to proceed with the repair work to be done along with the necessary materials/parts. </t>
    </r>
    <r>
      <rPr>
        <b/>
        <sz val="10.5"/>
        <rFont val="Calibri"/>
        <family val="2"/>
        <scheme val="minor"/>
      </rPr>
      <t>Trufit Auto Center</t>
    </r>
    <r>
      <rPr>
        <sz val="10.5"/>
        <rFont val="Calibri"/>
        <family val="2"/>
        <scheme val="minor"/>
      </rPr>
      <t xml:space="preserve"> will not be held responsible for any loss or damage to vehicle in case of fire, theft, accident, or any other cause beyond their control, nor shall Trufit Auto Center be held responsible for delays caused by unavailability of parts or delays in parts shipments by the supplier or the transporter.  My signature hereto is evidence of my full understanding and acknowledgment of the conditions covered herein.</t>
    </r>
  </si>
  <si>
    <t>CUSTOMER'S SIGNATURE / DATE / TIME</t>
  </si>
  <si>
    <r>
      <rPr>
        <i/>
        <sz val="10.5"/>
        <color rgb="FF002060"/>
        <rFont val="Calibri"/>
        <family val="2"/>
        <scheme val="minor"/>
      </rPr>
      <t>Telephone No.</t>
    </r>
    <r>
      <rPr>
        <i/>
        <sz val="10.5"/>
        <color rgb="FFFF0000"/>
        <rFont val="Calibri"/>
        <family val="2"/>
        <scheme val="minor"/>
      </rPr>
      <t xml:space="preserve"> 09187747788 / 09757210388</t>
    </r>
  </si>
  <si>
    <r>
      <rPr>
        <i/>
        <sz val="10.5"/>
        <color rgb="FF002060"/>
        <rFont val="Calibri"/>
        <family val="2"/>
        <scheme val="minor"/>
      </rPr>
      <t xml:space="preserve">Email Add: </t>
    </r>
    <r>
      <rPr>
        <i/>
        <u/>
        <sz val="10.5"/>
        <color rgb="FFFF0000"/>
        <rFont val="Calibri"/>
        <family val="2"/>
        <scheme val="minor"/>
      </rPr>
      <t>trufitautocenter@gmail.com</t>
    </r>
  </si>
  <si>
    <t>BILLING STATEMENT</t>
  </si>
  <si>
    <t>Customer No.:</t>
  </si>
  <si>
    <t>Units</t>
  </si>
  <si>
    <t>Amount</t>
  </si>
  <si>
    <t>TOTAL LABOR</t>
  </si>
  <si>
    <t>TOTAL PARTS</t>
  </si>
  <si>
    <t>TOTAL SPOL</t>
  </si>
  <si>
    <t>TOTAL SALES</t>
  </si>
  <si>
    <t>Parts Number</t>
  </si>
  <si>
    <t>Qty</t>
  </si>
  <si>
    <t>Unit Price</t>
  </si>
  <si>
    <t>Supplies, Petrol, Oils, and Lubricants</t>
  </si>
  <si>
    <t>Comments</t>
  </si>
  <si>
    <t xml:space="preserve">                                                                        &lt;&lt;&lt;&lt; Total For Job 1 &gt;&gt;&gt;</t>
  </si>
  <si>
    <t>Delivery Charge</t>
  </si>
  <si>
    <t>Total Sales</t>
  </si>
  <si>
    <t>Downpayment</t>
  </si>
  <si>
    <t>Total Balance</t>
  </si>
  <si>
    <t>I Hereby authorize and agree to pay for the above repair work done on my vehicle, including all parts and materials necessary to perform the same.  In the event that the costs of the repair are not paid within (60) days from the date of the notice of completion hereof.  I hereby authorize and empower the Trufit Auto Center to sell my vehicle at public auction and apply the proceeds or part thereof to the cost of the repairs and the excess.  If any, shall be turned over to me.</t>
  </si>
  <si>
    <t>RECEIVED THE ABOVE ARTICLES / VEHICLES IN GOOD ORDER AND CONDITION AND  THAT THE REPAIRS HAVE BEEN MADE TO MY ENTIRE SATISFACTION</t>
  </si>
  <si>
    <t>RELEASED BY / DATE / TIME</t>
  </si>
  <si>
    <t>PRICES ARE SUBJECT TO CHANGE WITHOUT PRIOR NOTICE</t>
  </si>
  <si>
    <t>JOB ESTIMATE</t>
  </si>
  <si>
    <t>JO NO.</t>
  </si>
  <si>
    <t>Oil Filter</t>
  </si>
  <si>
    <t>Cabin Filter</t>
  </si>
  <si>
    <t>Air Filter</t>
  </si>
  <si>
    <t>Sundries</t>
  </si>
  <si>
    <t>TECH</t>
  </si>
  <si>
    <t>JOB DONE</t>
  </si>
  <si>
    <t>P</t>
  </si>
  <si>
    <t>A</t>
  </si>
  <si>
    <t>ROADTEST LOG</t>
  </si>
  <si>
    <t>MILAGE</t>
  </si>
  <si>
    <t>FUEL</t>
  </si>
  <si>
    <t>E     |      F</t>
  </si>
  <si>
    <t>Name:</t>
  </si>
  <si>
    <t>Date Required</t>
  </si>
  <si>
    <t>Make / Model</t>
  </si>
  <si>
    <t>Chasis Number</t>
  </si>
  <si>
    <t>Engine Number:</t>
  </si>
  <si>
    <t xml:space="preserve">         PARTS REQUISITION</t>
  </si>
  <si>
    <t>Qty.</t>
  </si>
  <si>
    <t>Part No.</t>
  </si>
  <si>
    <t>Remarks</t>
  </si>
  <si>
    <t>Requested By</t>
  </si>
  <si>
    <t>Received By:</t>
  </si>
  <si>
    <t>Noted by:</t>
  </si>
  <si>
    <t>Approved By:</t>
  </si>
  <si>
    <t>Service Advisor Copy</t>
  </si>
  <si>
    <t>Purchasing Copy</t>
  </si>
  <si>
    <t>UPDATE SHEET</t>
  </si>
  <si>
    <t>Date:</t>
  </si>
  <si>
    <t xml:space="preserve">Time: </t>
  </si>
  <si>
    <t>Details:</t>
  </si>
  <si>
    <t>By:</t>
  </si>
  <si>
    <t>AIR FILTER</t>
  </si>
  <si>
    <t>FAS-8951</t>
  </si>
  <si>
    <t>FAS-8500</t>
  </si>
  <si>
    <t>FAS-8345</t>
  </si>
  <si>
    <t>FAS-8977</t>
  </si>
  <si>
    <t>FAS-8640</t>
  </si>
  <si>
    <t xml:space="preserve">Fuel Filter </t>
  </si>
  <si>
    <t>FAS 8024</t>
  </si>
  <si>
    <t xml:space="preserve">Brake pads </t>
  </si>
  <si>
    <t>FAS-8342</t>
  </si>
  <si>
    <t>Brake Shoe</t>
  </si>
  <si>
    <t>FAS-8344</t>
  </si>
  <si>
    <t>Rotor Disc</t>
  </si>
  <si>
    <t>FAS-8553</t>
  </si>
  <si>
    <t>FAS-8555</t>
  </si>
  <si>
    <t>FAS-8712</t>
  </si>
  <si>
    <t>FAS-8856</t>
  </si>
  <si>
    <t>FAS-8865</t>
  </si>
  <si>
    <t>FAS-8866</t>
  </si>
  <si>
    <t>FAS-8867</t>
  </si>
  <si>
    <t>FAS-8588</t>
  </si>
  <si>
    <t>FAS-8861</t>
  </si>
  <si>
    <t xml:space="preserve">          </t>
  </si>
  <si>
    <t>FAS-8862</t>
  </si>
  <si>
    <t>FAS-8348</t>
  </si>
  <si>
    <t>FAS-8641</t>
  </si>
  <si>
    <t>FAS-8620</t>
  </si>
  <si>
    <t>FAS-8614</t>
  </si>
  <si>
    <t>FAS-8525</t>
  </si>
  <si>
    <t>FAS-8322</t>
  </si>
  <si>
    <t>FAS-8528</t>
  </si>
  <si>
    <t>FAS-8526</t>
  </si>
  <si>
    <t>FAS-8025</t>
  </si>
  <si>
    <t>FAS-8858</t>
  </si>
  <si>
    <t>FAS-8868</t>
  </si>
  <si>
    <t>FAS-8075</t>
  </si>
  <si>
    <t>FAS-8424</t>
  </si>
  <si>
    <t>FAS-8038</t>
  </si>
  <si>
    <t>FAS-8067</t>
  </si>
  <si>
    <t>FAS-8638</t>
  </si>
  <si>
    <t>FAS-8609</t>
  </si>
  <si>
    <t>FAS-8928</t>
  </si>
  <si>
    <t>FAS-8930</t>
  </si>
  <si>
    <t>FAS-8950</t>
  </si>
  <si>
    <t>FAS-8906</t>
  </si>
  <si>
    <t>FAS-8474</t>
  </si>
  <si>
    <t>FAS-8478</t>
  </si>
  <si>
    <t>FAS-8469</t>
  </si>
  <si>
    <t>FAS-8937</t>
  </si>
  <si>
    <t>FAS-8321</t>
  </si>
  <si>
    <t>FAS-8301</t>
  </si>
  <si>
    <t>FAS-8073</t>
  </si>
  <si>
    <t>FAS-8530</t>
  </si>
  <si>
    <t>FAS-8578</t>
  </si>
  <si>
    <t>FAS-8527</t>
  </si>
  <si>
    <t>FAS-8531</t>
  </si>
  <si>
    <t>FAS-8968</t>
  </si>
  <si>
    <t>FAS-8063</t>
  </si>
  <si>
    <t>FAS 8364</t>
  </si>
  <si>
    <t>FAS 8529</t>
  </si>
  <si>
    <t>CABIN FILTER</t>
  </si>
  <si>
    <t>FCS-9530</t>
  </si>
  <si>
    <t>FCS-9640</t>
  </si>
  <si>
    <t>FCS-9525</t>
  </si>
  <si>
    <t>FCS-9406</t>
  </si>
  <si>
    <t>FCS-9951</t>
  </si>
  <si>
    <t>FCS-9929</t>
  </si>
  <si>
    <t>FCS-9950</t>
  </si>
  <si>
    <t>FCS-9555</t>
  </si>
  <si>
    <t>FCS-9868</t>
  </si>
  <si>
    <t>FCS-9949</t>
  </si>
  <si>
    <t>FCS-9526</t>
  </si>
  <si>
    <t>FCS-9925</t>
  </si>
  <si>
    <t>FCS-9312</t>
  </si>
  <si>
    <t>FCS-9579</t>
  </si>
  <si>
    <t>FCS-9528</t>
  </si>
  <si>
    <t>FCS-9527</t>
  </si>
  <si>
    <t>FCS-9611</t>
  </si>
  <si>
    <t>FCS-9620</t>
  </si>
  <si>
    <t>FCS-9053</t>
  </si>
  <si>
    <t>FCS-9708</t>
  </si>
  <si>
    <t>FCS-9067</t>
  </si>
  <si>
    <t>FCS-9453</t>
  </si>
  <si>
    <t>FCS-9477</t>
  </si>
  <si>
    <t>FCS-9609</t>
  </si>
  <si>
    <t>FCS-9329</t>
  </si>
  <si>
    <t>FCS-9321</t>
  </si>
  <si>
    <t>FCS-9322</t>
  </si>
  <si>
    <t>FCS-9315</t>
  </si>
  <si>
    <t>FCS-9301</t>
  </si>
  <si>
    <t>FCS-9858</t>
  </si>
  <si>
    <t>FCS-9937</t>
  </si>
  <si>
    <t>FCS-9928</t>
  </si>
  <si>
    <t>FCS 9344</t>
  </si>
  <si>
    <t>FCS 9475</t>
  </si>
  <si>
    <t>FCS 9407</t>
  </si>
  <si>
    <t>FCS 9073</t>
  </si>
  <si>
    <t>FCS 9638</t>
  </si>
  <si>
    <t>OIL FILTER</t>
  </si>
  <si>
    <t>UN C-170</t>
  </si>
  <si>
    <t>UN C-631</t>
  </si>
  <si>
    <t>UN C-171</t>
  </si>
  <si>
    <t>UN C-110</t>
  </si>
  <si>
    <t>UN C-151</t>
  </si>
  <si>
    <t>L 15505</t>
  </si>
  <si>
    <t>UN C-414</t>
  </si>
  <si>
    <t>UN C-562</t>
  </si>
  <si>
    <t>L 45722</t>
  </si>
  <si>
    <t>UN C-491</t>
  </si>
  <si>
    <t>UN C-560</t>
  </si>
  <si>
    <t>UN C-331</t>
  </si>
  <si>
    <t>UN C-212</t>
  </si>
  <si>
    <t>UN C-250</t>
  </si>
  <si>
    <t>FES 5640</t>
  </si>
  <si>
    <t>FES 5715</t>
  </si>
  <si>
    <t>FES 5708</t>
  </si>
  <si>
    <t>FES 5712</t>
  </si>
  <si>
    <t>FES 5450</t>
  </si>
  <si>
    <t>FES 5579</t>
  </si>
  <si>
    <t>FES 5075</t>
  </si>
  <si>
    <t>VIC C-110</t>
  </si>
  <si>
    <t>Rush, Vios, Avanza, Corolla, Wigo</t>
  </si>
  <si>
    <t>VIC C-111</t>
  </si>
  <si>
    <t>Revo, Camry, Innova, Fortuner, Hilux, Previa, Prado, FJ Cruiser, Ford Fiesta, Focus, Maza 2 &amp; 5, Audi)</t>
  </si>
  <si>
    <t>VIC C-209</t>
  </si>
  <si>
    <t>Navara, Urvan, NV350, Frontier</t>
  </si>
  <si>
    <t>VIC C-306</t>
  </si>
  <si>
    <t>Montero, Strada, Pajero, L300, L200, Adventure, Starex, Grace</t>
  </si>
  <si>
    <t>VIC C-320</t>
  </si>
  <si>
    <t>Montero 2017-up</t>
  </si>
  <si>
    <t>VIC C-415</t>
  </si>
  <si>
    <t>Mirage 2012-up, Lancer 1989-2018, Galant 1990-2001, Getz 2003-up</t>
  </si>
  <si>
    <t>FUEL FILTER</t>
  </si>
  <si>
    <t>FFS-1500</t>
  </si>
  <si>
    <t>FFS-1640</t>
  </si>
  <si>
    <t>FFS-1530</t>
  </si>
  <si>
    <t>FFS-1478</t>
  </si>
  <si>
    <t>FFS-1067</t>
  </si>
  <si>
    <t>FFS-1712</t>
  </si>
  <si>
    <t>FFS-1501</t>
  </si>
  <si>
    <t>FFS-1453</t>
  </si>
  <si>
    <t>FFS-1346</t>
  </si>
  <si>
    <t>FFS-1858</t>
  </si>
  <si>
    <t>FFS-1581</t>
  </si>
  <si>
    <t>FFS-1708</t>
  </si>
  <si>
    <t>FC 709</t>
  </si>
  <si>
    <t>FC 190</t>
  </si>
  <si>
    <t>FFS 1950</t>
  </si>
  <si>
    <t>BRAKE PADS</t>
  </si>
  <si>
    <t>DB 1422GCT</t>
  </si>
  <si>
    <t>DB 1802GCT</t>
  </si>
  <si>
    <t>DB 1786GCT</t>
  </si>
  <si>
    <t>DB 1820GCT</t>
  </si>
  <si>
    <t>DB 1785GCT</t>
  </si>
  <si>
    <t>DB 1912GCT</t>
  </si>
  <si>
    <t>DB 1380GCT</t>
  </si>
  <si>
    <t>DB 2261GCT</t>
  </si>
  <si>
    <t>DB 1942GCT</t>
  </si>
  <si>
    <t>DB 1681GCT</t>
  </si>
  <si>
    <t>DB 1772GCT</t>
  </si>
  <si>
    <t>DB 1741GCT</t>
  </si>
  <si>
    <t>DB 2396GCT</t>
  </si>
  <si>
    <t>DB 1985GCT</t>
  </si>
  <si>
    <t>DB 1739GCT</t>
  </si>
  <si>
    <t>DB 2221GCT</t>
  </si>
  <si>
    <t>DB 2369GCT</t>
  </si>
  <si>
    <t>DB 2380GCT</t>
  </si>
  <si>
    <t>DB 1372GCT</t>
  </si>
  <si>
    <t>DB 1841GCT</t>
  </si>
  <si>
    <t>DB 2290GCT</t>
  </si>
  <si>
    <t>DB 2074GCT</t>
  </si>
  <si>
    <t>DB 2379GCT</t>
  </si>
  <si>
    <t>DB 2411GCT</t>
  </si>
  <si>
    <t>DB 1941GCT</t>
  </si>
  <si>
    <t>DB 1679GCT</t>
  </si>
  <si>
    <t>DB 1191GCT</t>
  </si>
  <si>
    <t>DB 2289GCT</t>
  </si>
  <si>
    <t>DB 1843GCT</t>
  </si>
  <si>
    <t>DB 1728GCT</t>
  </si>
  <si>
    <t>DB 1673GCT</t>
  </si>
  <si>
    <t>DB 2174GCT</t>
  </si>
  <si>
    <t>DB 1943GCT</t>
  </si>
  <si>
    <t>DB 1940GCT</t>
  </si>
  <si>
    <t>DB 1957GCT</t>
  </si>
  <si>
    <t>DB 2272GCT</t>
  </si>
  <si>
    <t>DB 2076GCT</t>
  </si>
  <si>
    <t>DB 1252GCT</t>
  </si>
  <si>
    <t>DB 1116GCT</t>
  </si>
  <si>
    <t>DB 1769GCT</t>
  </si>
  <si>
    <t>DB 2334GCT</t>
  </si>
  <si>
    <t>DB 1333GCT</t>
  </si>
  <si>
    <t>DB 2278GCT</t>
  </si>
  <si>
    <t>DB 1818GCT</t>
  </si>
  <si>
    <t>DB 1455GCT</t>
  </si>
  <si>
    <t>DB 1686GCT</t>
  </si>
  <si>
    <t>DB 403GCT</t>
  </si>
  <si>
    <t>DB 1447GCT</t>
  </si>
  <si>
    <t>DB 1390GCT</t>
  </si>
  <si>
    <t>DB 1390 4WD</t>
  </si>
  <si>
    <t>DB 1916GCT</t>
  </si>
  <si>
    <t>DB 1774GCT</t>
  </si>
  <si>
    <t>DB 1835GCT</t>
  </si>
  <si>
    <t>DB 1509GCT</t>
  </si>
  <si>
    <t>DB 1835 4WD</t>
  </si>
  <si>
    <t>DB 1482 GCT</t>
  </si>
  <si>
    <t>DB 1830 GCT</t>
  </si>
  <si>
    <t>DB 2424 GCT</t>
  </si>
  <si>
    <t>DB 2525 GCT</t>
  </si>
  <si>
    <t>DB 1223 GCT</t>
  </si>
  <si>
    <t>DB 1231 GCT</t>
  </si>
  <si>
    <t>DB 2503 GCT</t>
  </si>
  <si>
    <t>DB 2374 GCT</t>
  </si>
  <si>
    <t>DB 1991GCT</t>
  </si>
  <si>
    <t>BRAKE SHOE</t>
  </si>
  <si>
    <t>BS1793</t>
  </si>
  <si>
    <t>BS5100</t>
  </si>
  <si>
    <t>BS5215</t>
  </si>
  <si>
    <t>BS5237</t>
  </si>
  <si>
    <t>BS5238</t>
  </si>
  <si>
    <t>BS5010</t>
  </si>
  <si>
    <t>BS1594</t>
  </si>
  <si>
    <t>BS5004</t>
  </si>
  <si>
    <t>BS5002</t>
  </si>
  <si>
    <t>BS5056</t>
  </si>
  <si>
    <t>BS5262</t>
  </si>
  <si>
    <t>BS5008</t>
  </si>
  <si>
    <t>BS5018</t>
  </si>
  <si>
    <t>ROTOR DISC</t>
  </si>
  <si>
    <t>PRD35446</t>
  </si>
  <si>
    <t>PRD35447</t>
  </si>
  <si>
    <t>PRD19767</t>
  </si>
  <si>
    <t>PRD-35145</t>
  </si>
  <si>
    <t>PRD25622</t>
  </si>
  <si>
    <t>OIL</t>
  </si>
  <si>
    <t>SF 5W40</t>
  </si>
  <si>
    <t>HAVOLINE 5W30</t>
  </si>
  <si>
    <t>DELO SPORTS 5W40</t>
  </si>
  <si>
    <t>WIPER BLADES</t>
  </si>
  <si>
    <t>12"</t>
  </si>
  <si>
    <t>13"</t>
  </si>
  <si>
    <t>14"</t>
  </si>
  <si>
    <t>15"</t>
  </si>
  <si>
    <t>16"</t>
  </si>
  <si>
    <t>17"</t>
  </si>
  <si>
    <t>18"</t>
  </si>
  <si>
    <t>19"</t>
  </si>
  <si>
    <t>20"</t>
  </si>
  <si>
    <t>21"</t>
  </si>
  <si>
    <t>22"</t>
  </si>
  <si>
    <t>23"</t>
  </si>
  <si>
    <t>24"</t>
  </si>
  <si>
    <t>25"</t>
  </si>
  <si>
    <t>26"</t>
  </si>
  <si>
    <t>28"</t>
  </si>
  <si>
    <t>WF</t>
  </si>
  <si>
    <t xml:space="preserve"> </t>
  </si>
  <si>
    <t xml:space="preserve">Date Released: </t>
  </si>
  <si>
    <t>Date Finished:</t>
  </si>
  <si>
    <t>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</si>
</sst>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70">
    <font>
      <sz val="11"/>
      <color theme="1"/>
      <name val="Calibri"/>
      <charset val="134"/>
      <scheme val="minor"/>
    </font>
    <font>
      <sz val="11"/>
      <color theme="1"/>
      <name val="Calibri"/>
      <family val="2"/>
      <scheme val="minor"/>
    </font>
    <font>
      <sz val="11"/>
      <color theme="1"/>
      <name val="Calibri"/>
      <family val="2"/>
      <scheme val="minor"/>
    </font>
    <font>
      <b/>
      <sz val="11"/>
      <color theme="1"/>
      <name val="Calibri"/>
      <family val="2"/>
      <scheme val="minor"/>
    </font>
    <font>
      <sz val="8"/>
      <color theme="1"/>
      <name val="Cambria"/>
      <family val="1"/>
      <scheme val="major"/>
    </font>
    <font>
      <sz val="8"/>
      <name val="Cambria"/>
      <family val="1"/>
      <scheme val="major"/>
    </font>
    <font>
      <b/>
      <sz val="8"/>
      <name val="Cambria"/>
      <family val="1"/>
      <scheme val="major"/>
    </font>
    <font>
      <sz val="8"/>
      <name val="Calibri"/>
      <family val="2"/>
      <scheme val="minor"/>
    </font>
    <font>
      <b/>
      <i/>
      <sz val="11"/>
      <color theme="1"/>
      <name val="Calibri"/>
      <family val="2"/>
      <scheme val="minor"/>
    </font>
    <font>
      <b/>
      <sz val="8"/>
      <name val="Calibri"/>
      <family val="2"/>
      <scheme val="minor"/>
    </font>
    <font>
      <sz val="8"/>
      <color theme="1"/>
      <name val="Calibri"/>
      <family val="2"/>
      <scheme val="minor"/>
    </font>
    <font>
      <b/>
      <sz val="8"/>
      <color theme="1"/>
      <name val="Calibri"/>
      <family val="2"/>
      <scheme val="minor"/>
    </font>
    <font>
      <sz val="11"/>
      <color theme="1"/>
      <name val="Bahnschrift SemiBold"/>
      <family val="2"/>
    </font>
    <font>
      <b/>
      <sz val="16"/>
      <name val="Bahnschrift SemiBold"/>
      <family val="2"/>
    </font>
    <font>
      <sz val="14"/>
      <name val="Calibri Light"/>
      <family val="2"/>
    </font>
    <font>
      <sz val="11"/>
      <name val="Calibri"/>
      <family val="2"/>
      <scheme val="minor"/>
    </font>
    <font>
      <sz val="11"/>
      <name val="Times New Roman"/>
      <family val="1"/>
    </font>
    <font>
      <b/>
      <sz val="11"/>
      <name val="Times New Roman"/>
      <family val="1"/>
    </font>
    <font>
      <b/>
      <sz val="14"/>
      <name val="Bookman Old Style"/>
      <family val="1"/>
    </font>
    <font>
      <sz val="11"/>
      <name val="Arial"/>
      <family val="2"/>
    </font>
    <font>
      <sz val="11"/>
      <name val="Bookman Old Style"/>
      <family val="1"/>
    </font>
    <font>
      <sz val="10"/>
      <name val="Arial"/>
      <family val="2"/>
    </font>
    <font>
      <sz val="10"/>
      <name val="Bookman Old Style"/>
      <family val="1"/>
    </font>
    <font>
      <sz val="10"/>
      <name val="Calibri"/>
      <family val="2"/>
      <scheme val="minor"/>
    </font>
    <font>
      <i/>
      <sz val="11"/>
      <name val="Times New Roman"/>
      <family val="1"/>
    </font>
    <font>
      <sz val="12"/>
      <color indexed="10"/>
      <name val="Times New Roman"/>
      <family val="1"/>
    </font>
    <font>
      <b/>
      <sz val="12"/>
      <name val="Times New Roman"/>
      <family val="1"/>
    </font>
    <font>
      <sz val="11.5"/>
      <name val="Times New Roman"/>
      <family val="1"/>
    </font>
    <font>
      <b/>
      <sz val="11.5"/>
      <name val="Times New Roman"/>
      <family val="1"/>
    </font>
    <font>
      <sz val="12"/>
      <name val="Times New Roman"/>
      <family val="1"/>
    </font>
    <font>
      <sz val="11"/>
      <color rgb="FF002060"/>
      <name val="Calibri"/>
      <family val="2"/>
      <scheme val="minor"/>
    </font>
    <font>
      <b/>
      <sz val="16"/>
      <color rgb="FF002060"/>
      <name val="MS Sans Serif"/>
      <charset val="134"/>
    </font>
    <font>
      <b/>
      <sz val="12"/>
      <color rgb="FF002060"/>
      <name val="MS Sans Serif"/>
      <charset val="134"/>
    </font>
    <font>
      <sz val="11.5"/>
      <color rgb="FF002060"/>
      <name val="Calibri"/>
      <family val="2"/>
      <scheme val="minor"/>
    </font>
    <font>
      <sz val="9"/>
      <color rgb="FF002060"/>
      <name val="Calibri"/>
      <family val="2"/>
      <scheme val="minor"/>
    </font>
    <font>
      <b/>
      <sz val="17"/>
      <name val="Arial"/>
      <family val="2"/>
    </font>
    <font>
      <sz val="9"/>
      <name val="Calibri"/>
      <family val="2"/>
      <scheme val="minor"/>
    </font>
    <font>
      <b/>
      <sz val="10"/>
      <name val="Calibri"/>
      <family val="2"/>
      <scheme val="minor"/>
    </font>
    <font>
      <b/>
      <sz val="15"/>
      <name val="Calibri"/>
      <family val="2"/>
      <scheme val="minor"/>
    </font>
    <font>
      <b/>
      <sz val="13"/>
      <name val="Calibri"/>
      <family val="2"/>
      <scheme val="minor"/>
    </font>
    <font>
      <sz val="11.5"/>
      <name val="Calibri"/>
      <family val="2"/>
      <scheme val="minor"/>
    </font>
    <font>
      <b/>
      <sz val="12"/>
      <name val="Calibri"/>
      <family val="2"/>
      <scheme val="minor"/>
    </font>
    <font>
      <b/>
      <sz val="11"/>
      <name val="Calibri"/>
      <family val="2"/>
      <scheme val="minor"/>
    </font>
    <font>
      <sz val="12"/>
      <name val="Calibri"/>
      <family val="2"/>
      <scheme val="minor"/>
    </font>
    <font>
      <b/>
      <i/>
      <sz val="12"/>
      <name val="Calibri"/>
      <family val="2"/>
      <scheme val="minor"/>
    </font>
    <font>
      <b/>
      <i/>
      <sz val="11"/>
      <name val="Calibri"/>
      <family val="2"/>
      <scheme val="minor"/>
    </font>
    <font>
      <b/>
      <sz val="14"/>
      <color rgb="FFFF0000"/>
      <name val="Calibri"/>
      <family val="2"/>
      <scheme val="minor"/>
    </font>
    <font>
      <i/>
      <sz val="10.5"/>
      <color rgb="FF002060"/>
      <name val="Calibri"/>
      <family val="2"/>
      <scheme val="minor"/>
    </font>
    <font>
      <b/>
      <sz val="11"/>
      <color rgb="FF002060"/>
      <name val="Calibri"/>
      <family val="2"/>
      <scheme val="minor"/>
    </font>
    <font>
      <sz val="10"/>
      <color rgb="FF002060"/>
      <name val="Calibri"/>
      <family val="2"/>
      <scheme val="minor"/>
    </font>
    <font>
      <b/>
      <sz val="16"/>
      <name val="Calibri"/>
      <family val="2"/>
      <scheme val="minor"/>
    </font>
    <font>
      <b/>
      <sz val="16"/>
      <name val="MS Sans Serif"/>
      <charset val="134"/>
    </font>
    <font>
      <b/>
      <sz val="12"/>
      <color theme="0"/>
      <name val="MS Sans Serif"/>
      <charset val="134"/>
    </font>
    <font>
      <b/>
      <sz val="12"/>
      <color indexed="10"/>
      <name val="MS Sans Serif"/>
      <charset val="134"/>
    </font>
    <font>
      <sz val="11.5"/>
      <color theme="1"/>
      <name val="Calibri"/>
      <family val="2"/>
      <scheme val="minor"/>
    </font>
    <font>
      <sz val="9"/>
      <color theme="1"/>
      <name val="Calibri"/>
      <family val="2"/>
      <scheme val="minor"/>
    </font>
    <font>
      <b/>
      <sz val="9"/>
      <name val="Calibri"/>
      <family val="2"/>
      <scheme val="minor"/>
    </font>
    <font>
      <sz val="10.5"/>
      <name val="Calibri"/>
      <family val="2"/>
      <scheme val="minor"/>
    </font>
    <font>
      <i/>
      <sz val="10.5"/>
      <color rgb="FFFF0000"/>
      <name val="Calibri"/>
      <family val="2"/>
      <scheme val="minor"/>
    </font>
    <font>
      <sz val="10"/>
      <color rgb="FFFF0000"/>
      <name val="Calibri"/>
      <family val="2"/>
      <scheme val="minor"/>
    </font>
    <font>
      <sz val="10"/>
      <color theme="1"/>
      <name val="Calibri"/>
      <family val="2"/>
      <scheme val="minor"/>
    </font>
    <font>
      <b/>
      <sz val="12"/>
      <color rgb="FFFF0000"/>
      <name val="Calibri"/>
      <family val="2"/>
      <scheme val="minor"/>
    </font>
    <font>
      <i/>
      <u/>
      <sz val="10.5"/>
      <color rgb="FFFF0000"/>
      <name val="Calibri"/>
      <family val="2"/>
      <scheme val="minor"/>
    </font>
    <font>
      <b/>
      <sz val="10.5"/>
      <name val="Calibri"/>
      <family val="2"/>
      <scheme val="minor"/>
    </font>
    <font>
      <sz val="11"/>
      <color theme="1"/>
      <name val="Calibri"/>
      <family val="2"/>
      <scheme val="minor"/>
    </font>
    <font>
      <sz val="11"/>
      <color theme="1"/>
      <name val="Calibri"/>
      <family val="2"/>
      <scheme val="minor"/>
    </font>
    <font>
      <sz val="11"/>
      <name val="Calibri"/>
      <family val="2"/>
      <scheme val="minor"/>
    </font>
    <font>
      <sz val="10"/>
      <name val="Arial"/>
      <family val="2"/>
    </font>
    <font>
      <sz val="9"/>
      <name val="Calibri"/>
      <family val="2"/>
      <scheme val="minor"/>
    </font>
    <font>
      <sz val="12"/>
      <name val="Calibri"/>
      <family val="2"/>
      <scheme val="minor"/>
    </font>
  </fonts>
  <fills count="13">
    <fill>
      <patternFill patternType="none"/>
    </fill>
    <fill>
      <patternFill patternType="gray125"/>
    </fill>
    <fill>
      <patternFill patternType="solid">
        <fgColor theme="4" tint="0.79995117038483843"/>
        <bgColor indexed="64"/>
      </patternFill>
    </fill>
    <fill>
      <patternFill patternType="solid">
        <fgColor theme="5" tint="0.79995117038483843"/>
        <bgColor indexed="64"/>
      </patternFill>
    </fill>
    <fill>
      <patternFill patternType="solid">
        <fgColor theme="7" tint="0.7999511703848384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99FF"/>
        <bgColor indexed="64"/>
      </patternFill>
    </fill>
    <fill>
      <patternFill patternType="solid">
        <fgColor rgb="FF00CCFF"/>
        <bgColor indexed="64"/>
      </patternFill>
    </fill>
    <fill>
      <patternFill patternType="solid">
        <fgColor theme="0" tint="-0.249977111117893"/>
        <bgColor indexed="64"/>
      </patternFill>
    </fill>
    <fill>
      <patternFill patternType="solid">
        <fgColor rgb="FF00B050"/>
        <bgColor indexed="64"/>
      </patternFill>
    </fill>
    <fill>
      <patternFill patternType="solid">
        <fgColor theme="8" tint="0.59999389629810485"/>
        <bgColor indexed="64"/>
      </patternFill>
    </fill>
    <fill>
      <patternFill patternType="solid">
        <fgColor theme="6" tint="0.59999389629810485"/>
        <bgColor indexed="64"/>
      </patternFill>
    </fill>
  </fills>
  <borders count="8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rgb="FF002060"/>
      </left>
      <right style="thin">
        <color rgb="FF002060"/>
      </right>
      <top style="medium">
        <color rgb="FF002060"/>
      </top>
      <bottom style="thin">
        <color rgb="FF002060"/>
      </bottom>
      <diagonal/>
    </border>
    <border>
      <left style="thin">
        <color rgb="FF002060"/>
      </left>
      <right style="thin">
        <color rgb="FF002060"/>
      </right>
      <top style="medium">
        <color rgb="FF002060"/>
      </top>
      <bottom style="thin">
        <color rgb="FF002060"/>
      </bottom>
      <diagonal/>
    </border>
    <border>
      <left style="thin">
        <color rgb="FF002060"/>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bottom/>
      <diagonal/>
    </border>
    <border>
      <left/>
      <right/>
      <top/>
      <bottom style="medium">
        <color rgb="FF002060"/>
      </bottom>
      <diagonal/>
    </border>
    <border>
      <left/>
      <right style="medium">
        <color rgb="FF002060"/>
      </right>
      <top/>
      <bottom/>
      <diagonal/>
    </border>
    <border>
      <left style="medium">
        <color rgb="FF002060"/>
      </left>
      <right/>
      <top/>
      <bottom style="medium">
        <color rgb="FF002060"/>
      </bottom>
      <diagonal/>
    </border>
    <border>
      <left/>
      <right style="medium">
        <color rgb="FF002060"/>
      </right>
      <top/>
      <bottom style="medium">
        <color rgb="FF002060"/>
      </bottom>
      <diagonal/>
    </border>
    <border>
      <left/>
      <right style="medium">
        <color rgb="FF002060"/>
      </right>
      <top style="medium">
        <color rgb="FF002060"/>
      </top>
      <bottom/>
      <diagonal/>
    </border>
    <border>
      <left style="medium">
        <color rgb="FF002060"/>
      </left>
      <right style="thin">
        <color rgb="FF002060"/>
      </right>
      <top style="medium">
        <color rgb="FF002060"/>
      </top>
      <bottom/>
      <diagonal/>
    </border>
    <border>
      <left style="thin">
        <color rgb="FF002060"/>
      </left>
      <right style="thin">
        <color rgb="FF002060"/>
      </right>
      <top style="medium">
        <color rgb="FF002060"/>
      </top>
      <bottom/>
      <diagonal/>
    </border>
    <border>
      <left style="thin">
        <color rgb="FF002060"/>
      </left>
      <right/>
      <top style="medium">
        <color rgb="FF002060"/>
      </top>
      <bottom style="medium">
        <color rgb="FF002060"/>
      </bottom>
      <diagonal/>
    </border>
    <border>
      <left style="thin">
        <color rgb="FF002060"/>
      </left>
      <right/>
      <top style="medium">
        <color rgb="FF002060"/>
      </top>
      <bottom style="thin">
        <color rgb="FF002060"/>
      </bottom>
      <diagonal/>
    </border>
    <border>
      <left/>
      <right style="medium">
        <color rgb="FF002060"/>
      </right>
      <top style="medium">
        <color rgb="FF002060"/>
      </top>
      <bottom style="thin">
        <color rgb="FF002060"/>
      </bottom>
      <diagonal/>
    </border>
    <border>
      <left style="thin">
        <color rgb="FF002060"/>
      </left>
      <right/>
      <top style="thin">
        <color rgb="FF002060"/>
      </top>
      <bottom style="thin">
        <color rgb="FF002060"/>
      </bottom>
      <diagonal/>
    </border>
    <border>
      <left/>
      <right style="medium">
        <color rgb="FF002060"/>
      </right>
      <top style="thin">
        <color rgb="FF002060"/>
      </top>
      <bottom style="thin">
        <color rgb="FF002060"/>
      </bottom>
      <diagonal/>
    </border>
    <border>
      <left/>
      <right style="thin">
        <color rgb="FF002060"/>
      </right>
      <top style="thin">
        <color rgb="FF002060"/>
      </top>
      <bottom style="thin">
        <color rgb="FF002060"/>
      </bottom>
      <diagonal/>
    </border>
    <border>
      <left style="medium">
        <color rgb="FF002060"/>
      </left>
      <right style="medium">
        <color rgb="FF002060"/>
      </right>
      <top style="medium">
        <color rgb="FF002060"/>
      </top>
      <bottom/>
      <diagonal/>
    </border>
    <border>
      <left style="medium">
        <color rgb="FF002060"/>
      </left>
      <right/>
      <top style="medium">
        <color rgb="FF002060"/>
      </top>
      <bottom style="medium">
        <color rgb="FF002060"/>
      </bottom>
      <diagonal/>
    </border>
    <border>
      <left style="medium">
        <color rgb="FF002060"/>
      </left>
      <right style="medium">
        <color rgb="FF002060"/>
      </right>
      <top style="medium">
        <color rgb="FF002060"/>
      </top>
      <bottom style="thin">
        <color rgb="FF002060"/>
      </bottom>
      <diagonal/>
    </border>
    <border>
      <left style="medium">
        <color rgb="FF002060"/>
      </left>
      <right style="medium">
        <color rgb="FF002060"/>
      </right>
      <top style="thin">
        <color rgb="FF002060"/>
      </top>
      <bottom style="thin">
        <color rgb="FF002060"/>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style="medium">
        <color rgb="FF002060"/>
      </left>
      <right/>
      <top/>
      <bottom style="thin">
        <color rgb="FF002060"/>
      </bottom>
      <diagonal/>
    </border>
    <border>
      <left/>
      <right style="medium">
        <color rgb="FF002060"/>
      </right>
      <top/>
      <bottom style="thin">
        <color rgb="FF002060"/>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style="medium">
        <color rgb="FF002060"/>
      </left>
      <right style="medium">
        <color rgb="FF002060"/>
      </right>
      <top style="thin">
        <color rgb="FF002060"/>
      </top>
      <bottom/>
      <diagonal/>
    </border>
    <border>
      <left style="medium">
        <color rgb="FF002060"/>
      </left>
      <right style="medium">
        <color rgb="FF002060"/>
      </right>
      <top/>
      <bottom style="thin">
        <color rgb="FF002060"/>
      </bottom>
      <diagonal/>
    </border>
    <border>
      <left style="medium">
        <color rgb="FF002060"/>
      </left>
      <right style="thin">
        <color auto="1"/>
      </right>
      <top style="thin">
        <color rgb="FF002060"/>
      </top>
      <bottom style="thin">
        <color rgb="FF002060"/>
      </bottom>
      <diagonal/>
    </border>
    <border>
      <left style="thin">
        <color auto="1"/>
      </left>
      <right style="medium">
        <color rgb="FF002060"/>
      </right>
      <top style="thin">
        <color rgb="FF002060"/>
      </top>
      <bottom style="thin">
        <color rgb="FF002060"/>
      </bottom>
      <diagonal/>
    </border>
    <border>
      <left style="medium">
        <color rgb="FF002060"/>
      </left>
      <right style="medium">
        <color rgb="FF002060"/>
      </right>
      <top style="thin">
        <color rgb="FF002060"/>
      </top>
      <bottom style="medium">
        <color rgb="FF002060"/>
      </bottom>
      <diagonal/>
    </border>
    <border>
      <left style="medium">
        <color rgb="FF002060"/>
      </left>
      <right/>
      <top style="thin">
        <color rgb="FF002060"/>
      </top>
      <bottom style="medium">
        <color rgb="FF002060"/>
      </bottom>
      <diagonal/>
    </border>
    <border>
      <left/>
      <right/>
      <top style="thin">
        <color rgb="FF002060"/>
      </top>
      <bottom style="medium">
        <color rgb="FF002060"/>
      </bottom>
      <diagonal/>
    </border>
    <border>
      <left style="medium">
        <color rgb="FF002060"/>
      </left>
      <right style="thin">
        <color auto="1"/>
      </right>
      <top style="thin">
        <color rgb="FF002060"/>
      </top>
      <bottom style="medium">
        <color rgb="FF002060"/>
      </bottom>
      <diagonal/>
    </border>
    <border>
      <left style="thin">
        <color auto="1"/>
      </left>
      <right style="medium">
        <color rgb="FF002060"/>
      </right>
      <top style="thin">
        <color rgb="FF002060"/>
      </top>
      <bottom style="medium">
        <color rgb="FF002060"/>
      </bottom>
      <diagonal/>
    </border>
    <border>
      <left style="medium">
        <color rgb="FF002060"/>
      </left>
      <right/>
      <top style="thin">
        <color rgb="FF002060"/>
      </top>
      <bottom/>
      <diagonal/>
    </border>
    <border>
      <left/>
      <right style="thin">
        <color rgb="FF002060"/>
      </right>
      <top style="thin">
        <color rgb="FF002060"/>
      </top>
      <bottom/>
      <diagonal/>
    </border>
    <border>
      <left style="thin">
        <color rgb="FF002060"/>
      </left>
      <right/>
      <top style="thin">
        <color rgb="FF002060"/>
      </top>
      <bottom/>
      <diagonal/>
    </border>
    <border>
      <left/>
      <right style="thin">
        <color rgb="FF002060"/>
      </right>
      <top/>
      <bottom/>
      <diagonal/>
    </border>
    <border>
      <left/>
      <right/>
      <top/>
      <bottom style="thin">
        <color auto="1"/>
      </bottom>
      <diagonal/>
    </border>
    <border>
      <left style="thin">
        <color rgb="FF002060"/>
      </left>
      <right/>
      <top/>
      <bottom style="thin">
        <color rgb="FF002060"/>
      </bottom>
      <diagonal/>
    </border>
    <border>
      <left/>
      <right style="thin">
        <color rgb="FF002060"/>
      </right>
      <top/>
      <bottom style="thin">
        <color rgb="FF002060"/>
      </bottom>
      <diagonal/>
    </border>
    <border>
      <left/>
      <right style="thin">
        <color rgb="FF002060"/>
      </right>
      <top style="thin">
        <color auto="1"/>
      </top>
      <bottom/>
      <diagonal/>
    </border>
    <border>
      <left style="thin">
        <color rgb="FF002060"/>
      </left>
      <right/>
      <top/>
      <bottom/>
      <diagonal/>
    </border>
    <border>
      <left style="thin">
        <color rgb="FF002060"/>
      </left>
      <right style="thin">
        <color rgb="FF002060"/>
      </right>
      <top style="thin">
        <color rgb="FF002060"/>
      </top>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style="medium">
        <color rgb="FF002060"/>
      </left>
      <right style="thin">
        <color auto="1"/>
      </right>
      <top style="thin">
        <color rgb="FF002060"/>
      </top>
      <bottom/>
      <diagonal/>
    </border>
    <border>
      <left style="thin">
        <color auto="1"/>
      </left>
      <right style="thin">
        <color rgb="FF002060"/>
      </right>
      <top style="thin">
        <color rgb="FF002060"/>
      </top>
      <bottom/>
      <diagonal/>
    </border>
    <border>
      <left/>
      <right/>
      <top style="thin">
        <color rgb="FF002060"/>
      </top>
      <bottom/>
      <diagonal/>
    </border>
    <border>
      <left/>
      <right style="thin">
        <color rgb="FF002060"/>
      </right>
      <top/>
      <bottom style="medium">
        <color rgb="FF002060"/>
      </bottom>
      <diagonal/>
    </border>
    <border>
      <left style="thin">
        <color rgb="FF002060"/>
      </left>
      <right/>
      <top/>
      <bottom style="medium">
        <color rgb="FF002060"/>
      </bottom>
      <diagonal/>
    </border>
    <border>
      <left/>
      <right/>
      <top/>
      <bottom style="thin">
        <color rgb="FF002060"/>
      </bottom>
      <diagonal/>
    </border>
    <border>
      <left style="medium">
        <color rgb="FF002060"/>
      </left>
      <right style="medium">
        <color rgb="FF002060"/>
      </right>
      <top style="medium">
        <color rgb="FF002060"/>
      </top>
      <bottom style="medium">
        <color rgb="FF002060"/>
      </bottom>
      <diagonal/>
    </border>
    <border>
      <left style="medium">
        <color auto="1"/>
      </left>
      <right style="medium">
        <color auto="1"/>
      </right>
      <top style="medium">
        <color auto="1"/>
      </top>
      <bottom style="medium">
        <color auto="1"/>
      </bottom>
      <diagonal/>
    </border>
    <border>
      <left style="thin">
        <color rgb="FF002060"/>
      </left>
      <right style="medium">
        <color rgb="FF002060"/>
      </right>
      <top style="thin">
        <color rgb="FF002060"/>
      </top>
      <bottom style="thin">
        <color auto="1"/>
      </bottom>
      <diagonal/>
    </border>
    <border>
      <left style="thin">
        <color rgb="FF002060"/>
      </left>
      <right style="medium">
        <color rgb="FF002060"/>
      </right>
      <top style="thin">
        <color auto="1"/>
      </top>
      <bottom/>
      <diagonal/>
    </border>
    <border>
      <left style="thin">
        <color rgb="FF002060"/>
      </left>
      <right style="medium">
        <color rgb="FF002060"/>
      </right>
      <top/>
      <bottom/>
      <diagonal/>
    </border>
    <border>
      <left style="thin">
        <color rgb="FF002060"/>
      </left>
      <right style="medium">
        <color rgb="FF002060"/>
      </right>
      <top/>
      <bottom style="medium">
        <color rgb="FF002060"/>
      </bottom>
      <diagonal/>
    </border>
    <border>
      <left style="thin">
        <color theme="4"/>
      </left>
      <right/>
      <top style="medium">
        <color rgb="FF002060"/>
      </top>
      <bottom/>
      <diagonal/>
    </border>
    <border>
      <left style="thin">
        <color theme="4"/>
      </left>
      <right/>
      <top/>
      <bottom/>
      <diagonal/>
    </border>
    <border>
      <left/>
      <right style="thin">
        <color theme="4"/>
      </right>
      <top style="medium">
        <color rgb="FF002060"/>
      </top>
      <bottom/>
      <diagonal/>
    </border>
    <border>
      <left/>
      <right style="thin">
        <color theme="4"/>
      </right>
      <top/>
      <bottom/>
      <diagonal/>
    </border>
    <border>
      <left style="thin">
        <color theme="4"/>
      </left>
      <right/>
      <top/>
      <bottom style="thin">
        <color theme="3"/>
      </bottom>
      <diagonal/>
    </border>
    <border>
      <left/>
      <right/>
      <top style="thin">
        <color auto="1"/>
      </top>
      <bottom style="thin">
        <color theme="3"/>
      </bottom>
      <diagonal/>
    </border>
    <border>
      <left/>
      <right/>
      <top/>
      <bottom style="thin">
        <color theme="3"/>
      </bottom>
      <diagonal/>
    </border>
    <border>
      <left/>
      <right style="thin">
        <color theme="4"/>
      </right>
      <top/>
      <bottom style="thin">
        <color theme="3"/>
      </bottom>
      <diagonal/>
    </border>
    <border>
      <left/>
      <right style="thin">
        <color rgb="FF002060"/>
      </right>
      <top style="medium">
        <color rgb="FF002060"/>
      </top>
      <bottom style="medium">
        <color rgb="FF002060"/>
      </bottom>
      <diagonal/>
    </border>
    <border>
      <left style="thin">
        <color rgb="FF002060"/>
      </left>
      <right/>
      <top/>
      <bottom style="medium">
        <color indexed="64"/>
      </bottom>
      <diagonal/>
    </border>
    <border>
      <left/>
      <right/>
      <top/>
      <bottom style="medium">
        <color indexed="64"/>
      </bottom>
      <diagonal/>
    </border>
    <border>
      <left/>
      <right style="thin">
        <color rgb="FF002060"/>
      </right>
      <top/>
      <bottom style="medium">
        <color indexed="64"/>
      </bottom>
      <diagonal/>
    </border>
  </borders>
  <cellStyleXfs count="19">
    <xf numFmtId="0" fontId="0" fillId="0" borderId="0"/>
    <xf numFmtId="43" fontId="64"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64" fillId="0" borderId="0" applyFont="0" applyFill="0" applyBorder="0" applyAlignment="0" applyProtection="0"/>
    <xf numFmtId="0" fontId="21" fillId="0" borderId="0"/>
    <xf numFmtId="43" fontId="2" fillId="0" borderId="0" applyFon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1" fillId="0" borderId="0"/>
    <xf numFmtId="43" fontId="65" fillId="0" borderId="0" applyFont="0" applyFill="0" applyBorder="0" applyAlignment="0" applyProtection="0"/>
    <xf numFmtId="43" fontId="67" fillId="0" borderId="0" applyFont="0" applyFill="0" applyBorder="0" applyAlignment="0" applyProtection="0"/>
    <xf numFmtId="164" fontId="67" fillId="0" borderId="0" applyFont="0" applyFill="0" applyBorder="0" applyAlignment="0" applyProtection="0"/>
    <xf numFmtId="164" fontId="65" fillId="0" borderId="0" applyFont="0" applyFill="0" applyBorder="0" applyAlignment="0" applyProtection="0"/>
    <xf numFmtId="0" fontId="67" fillId="0" borderId="0"/>
  </cellStyleXfs>
  <cellXfs count="488">
    <xf numFmtId="0" fontId="0" fillId="0" borderId="0" xfId="0"/>
    <xf numFmtId="0" fontId="3" fillId="0" borderId="0" xfId="0" applyFont="1"/>
    <xf numFmtId="0" fontId="4" fillId="2" borderId="1" xfId="0" applyFont="1" applyFill="1" applyBorder="1" applyAlignment="1">
      <alignment horizontal="center"/>
    </xf>
    <xf numFmtId="43" fontId="5" fillId="0" borderId="1" xfId="1" applyFont="1" applyFill="1" applyBorder="1"/>
    <xf numFmtId="43" fontId="5" fillId="3" borderId="1" xfId="1" applyFont="1" applyFill="1" applyBorder="1"/>
    <xf numFmtId="0" fontId="0" fillId="2" borderId="1" xfId="0" applyFill="1" applyBorder="1"/>
    <xf numFmtId="0" fontId="0" fillId="0" borderId="1" xfId="0"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5" fillId="2" borderId="1" xfId="0" applyFont="1" applyFill="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5" fillId="4" borderId="1" xfId="0" applyFont="1" applyFill="1" applyBorder="1" applyAlignment="1">
      <alignment horizontal="center"/>
    </xf>
    <xf numFmtId="0" fontId="7" fillId="3" borderId="1" xfId="0" applyFont="1" applyFill="1" applyBorder="1" applyAlignment="1">
      <alignment horizontal="center"/>
    </xf>
    <xf numFmtId="0" fontId="7" fillId="3" borderId="2" xfId="0" applyFont="1" applyFill="1" applyBorder="1" applyAlignment="1">
      <alignment horizontal="center"/>
    </xf>
    <xf numFmtId="43" fontId="5" fillId="0" borderId="2" xfId="1" applyFont="1" applyFill="1" applyBorder="1"/>
    <xf numFmtId="43" fontId="5" fillId="3" borderId="2" xfId="1" applyFont="1" applyFill="1" applyBorder="1"/>
    <xf numFmtId="0" fontId="8" fillId="0" borderId="0" xfId="0" applyFont="1"/>
    <xf numFmtId="0" fontId="7" fillId="0" borderId="2" xfId="0" applyFont="1" applyBorder="1" applyAlignment="1">
      <alignment horizontal="center"/>
    </xf>
    <xf numFmtId="0" fontId="9" fillId="0" borderId="2" xfId="0" applyFont="1" applyBorder="1" applyAlignment="1">
      <alignment horizontal="center"/>
    </xf>
    <xf numFmtId="0" fontId="4" fillId="6" borderId="1" xfId="0" applyFont="1" applyFill="1" applyBorder="1" applyAlignment="1">
      <alignment horizontal="center"/>
    </xf>
    <xf numFmtId="0" fontId="4" fillId="0" borderId="1" xfId="0" applyFont="1" applyBorder="1" applyAlignment="1">
      <alignment horizontal="center"/>
    </xf>
    <xf numFmtId="0" fontId="10" fillId="7" borderId="1" xfId="0" applyFont="1" applyFill="1" applyBorder="1" applyAlignment="1">
      <alignment horizontal="center"/>
    </xf>
    <xf numFmtId="43" fontId="10" fillId="0" borderId="1" xfId="1" applyFont="1" applyFill="1" applyBorder="1"/>
    <xf numFmtId="0" fontId="10" fillId="7" borderId="1" xfId="0" applyFont="1" applyFill="1" applyBorder="1" applyAlignment="1">
      <alignment horizontal="center" vertical="center"/>
    </xf>
    <xf numFmtId="0" fontId="10" fillId="7" borderId="1" xfId="0" applyFont="1" applyFill="1" applyBorder="1" applyAlignment="1" applyProtection="1">
      <alignment horizontal="center"/>
      <protection locked="0"/>
    </xf>
    <xf numFmtId="0" fontId="7" fillId="7" borderId="1" xfId="0" applyFont="1" applyFill="1" applyBorder="1" applyAlignment="1">
      <alignment horizontal="center"/>
    </xf>
    <xf numFmtId="43" fontId="10" fillId="0" borderId="2" xfId="1" applyFont="1" applyFill="1" applyBorder="1"/>
    <xf numFmtId="0" fontId="10" fillId="7" borderId="2" xfId="0" applyFont="1" applyFill="1" applyBorder="1" applyAlignment="1">
      <alignment horizontal="center"/>
    </xf>
    <xf numFmtId="43" fontId="5" fillId="0" borderId="1" xfId="1" applyFont="1" applyBorder="1"/>
    <xf numFmtId="0" fontId="10" fillId="0" borderId="1" xfId="0" applyFont="1" applyBorder="1" applyAlignment="1">
      <alignment horizontal="center"/>
    </xf>
    <xf numFmtId="0" fontId="11" fillId="0" borderId="1" xfId="0" applyFont="1" applyBorder="1" applyAlignment="1">
      <alignment horizontal="center"/>
    </xf>
    <xf numFmtId="0" fontId="10" fillId="8" borderId="1" xfId="0" applyFont="1" applyFill="1" applyBorder="1" applyAlignment="1">
      <alignment horizontal="center"/>
    </xf>
    <xf numFmtId="0" fontId="10" fillId="9" borderId="1" xfId="0" applyFont="1" applyFill="1" applyBorder="1" applyAlignment="1">
      <alignment horizontal="center"/>
    </xf>
    <xf numFmtId="0" fontId="10" fillId="0" borderId="3" xfId="0" applyFont="1" applyBorder="1" applyAlignment="1">
      <alignment horizontal="center"/>
    </xf>
    <xf numFmtId="43" fontId="5" fillId="0" borderId="3" xfId="1" applyFont="1" applyBorder="1"/>
    <xf numFmtId="43" fontId="5" fillId="0" borderId="3" xfId="1" applyFont="1" applyFill="1" applyBorder="1"/>
    <xf numFmtId="0" fontId="10" fillId="10" borderId="3" xfId="0" applyFont="1" applyFill="1" applyBorder="1" applyAlignment="1">
      <alignment horizontal="center"/>
    </xf>
    <xf numFmtId="43" fontId="5" fillId="3" borderId="3" xfId="1" applyFont="1" applyFill="1" applyBorder="1"/>
    <xf numFmtId="0" fontId="0" fillId="11" borderId="1" xfId="0" applyFill="1" applyBorder="1" applyAlignment="1">
      <alignment horizontal="center"/>
    </xf>
    <xf numFmtId="43" fontId="10" fillId="0" borderId="1" xfId="1" applyFont="1" applyBorder="1"/>
    <xf numFmtId="43" fontId="0" fillId="3" borderId="1" xfId="1" applyFont="1" applyFill="1" applyBorder="1"/>
    <xf numFmtId="0" fontId="0" fillId="12" borderId="1" xfId="0" applyFill="1" applyBorder="1" applyAlignment="1">
      <alignment horizontal="center"/>
    </xf>
    <xf numFmtId="0" fontId="12" fillId="0" borderId="0" xfId="0" applyFont="1" applyAlignment="1">
      <alignment vertical="center"/>
    </xf>
    <xf numFmtId="0" fontId="14" fillId="0" borderId="7" xfId="0" applyFont="1" applyBorder="1" applyAlignment="1">
      <alignment horizontal="center" vertical="top"/>
    </xf>
    <xf numFmtId="0" fontId="14" fillId="0" borderId="8" xfId="0" applyFont="1" applyBorder="1" applyAlignment="1">
      <alignment horizontal="center" vertical="top"/>
    </xf>
    <xf numFmtId="0" fontId="15" fillId="0" borderId="7" xfId="0" applyFont="1" applyBorder="1" applyAlignment="1">
      <alignment horizontal="center"/>
    </xf>
    <xf numFmtId="0" fontId="15" fillId="0" borderId="8"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xf numFmtId="0" fontId="0" fillId="0" borderId="0" xfId="0" applyAlignment="1">
      <alignment horizontal="center"/>
    </xf>
    <xf numFmtId="0" fontId="16" fillId="0" borderId="13" xfId="0" applyFont="1" applyBorder="1" applyAlignment="1"/>
    <xf numFmtId="0" fontId="16" fillId="0" borderId="14" xfId="0" applyFont="1" applyBorder="1" applyAlignment="1">
      <alignment horizontal="center"/>
    </xf>
    <xf numFmtId="0" fontId="15" fillId="0" borderId="0" xfId="0" applyFont="1"/>
    <xf numFmtId="0" fontId="16" fillId="0" borderId="17" xfId="0" applyFont="1" applyBorder="1" applyAlignment="1"/>
    <xf numFmtId="0" fontId="16" fillId="0" borderId="0" xfId="0" applyFont="1" applyBorder="1" applyAlignment="1"/>
    <xf numFmtId="0" fontId="16" fillId="0" borderId="0" xfId="0" applyFont="1" applyBorder="1" applyAlignment="1">
      <alignment horizontal="center"/>
    </xf>
    <xf numFmtId="0" fontId="16" fillId="0" borderId="19" xfId="0" applyFont="1" applyBorder="1" applyAlignment="1">
      <alignment horizontal="center"/>
    </xf>
    <xf numFmtId="0" fontId="16" fillId="0" borderId="17" xfId="0" applyFont="1" applyBorder="1"/>
    <xf numFmtId="0" fontId="16" fillId="0" borderId="0" xfId="0" applyFont="1" applyBorder="1"/>
    <xf numFmtId="0" fontId="15" fillId="0" borderId="0" xfId="0" applyFont="1" applyBorder="1"/>
    <xf numFmtId="0" fontId="16" fillId="0" borderId="19" xfId="0" applyFont="1" applyBorder="1" applyAlignment="1"/>
    <xf numFmtId="0" fontId="16" fillId="0" borderId="17" xfId="0" applyFont="1" applyBorder="1" applyAlignment="1">
      <alignment horizontal="left" vertical="center"/>
    </xf>
    <xf numFmtId="0" fontId="17" fillId="0" borderId="0" xfId="0" applyFont="1" applyBorder="1" applyAlignment="1">
      <alignment horizontal="left" vertical="center"/>
    </xf>
    <xf numFmtId="0" fontId="17" fillId="0" borderId="0" xfId="0" applyFont="1" applyBorder="1" applyAlignment="1"/>
    <xf numFmtId="0" fontId="15" fillId="0" borderId="13" xfId="0" applyFont="1" applyBorder="1"/>
    <xf numFmtId="0" fontId="18" fillId="0" borderId="14"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applyBorder="1" applyAlignment="1">
      <alignment horizontal="center" vertical="center"/>
    </xf>
    <xf numFmtId="0" fontId="15" fillId="0" borderId="20" xfId="0" applyFont="1" applyBorder="1"/>
    <xf numFmtId="0" fontId="15" fillId="0" borderId="18" xfId="0" applyFont="1" applyBorder="1"/>
    <xf numFmtId="0" fontId="19" fillId="0" borderId="23" xfId="0" applyFont="1" applyBorder="1" applyAlignment="1">
      <alignment horizontal="center" vertical="center"/>
    </xf>
    <xf numFmtId="0" fontId="20" fillId="0" borderId="24" xfId="0" applyFont="1" applyBorder="1" applyAlignment="1">
      <alignment vertical="center" wrapText="1"/>
    </xf>
    <xf numFmtId="0" fontId="21" fillId="0" borderId="4" xfId="0" applyFont="1" applyBorder="1"/>
    <xf numFmtId="0" fontId="22" fillId="0" borderId="5" xfId="0" applyFont="1" applyBorder="1" applyAlignment="1"/>
    <xf numFmtId="0" fontId="23" fillId="0" borderId="0" xfId="0" applyFont="1"/>
    <xf numFmtId="0" fontId="21" fillId="0" borderId="7" xfId="0" applyFont="1" applyBorder="1"/>
    <xf numFmtId="0" fontId="22" fillId="0" borderId="8" xfId="0" applyFont="1" applyBorder="1" applyAlignment="1"/>
    <xf numFmtId="0" fontId="19" fillId="0" borderId="7" xfId="0" applyFont="1" applyBorder="1"/>
    <xf numFmtId="0" fontId="20" fillId="0" borderId="8" xfId="0" applyFont="1" applyBorder="1" applyAlignment="1"/>
    <xf numFmtId="0" fontId="19" fillId="0" borderId="8" xfId="0" applyFont="1" applyBorder="1"/>
    <xf numFmtId="0" fontId="24" fillId="0" borderId="17" xfId="0" applyFont="1" applyBorder="1"/>
    <xf numFmtId="0" fontId="24" fillId="0" borderId="0" xfId="0" applyFont="1" applyBorder="1"/>
    <xf numFmtId="0" fontId="19" fillId="0" borderId="0" xfId="0" applyFont="1" applyBorder="1"/>
    <xf numFmtId="0" fontId="15" fillId="0" borderId="19" xfId="0" applyFont="1" applyBorder="1"/>
    <xf numFmtId="0" fontId="19" fillId="0" borderId="19" xfId="0" applyFont="1" applyBorder="1"/>
    <xf numFmtId="0" fontId="19" fillId="0" borderId="20" xfId="0" applyFont="1" applyBorder="1"/>
    <xf numFmtId="0" fontId="19" fillId="0" borderId="18" xfId="0" applyFont="1" applyBorder="1"/>
    <xf numFmtId="0" fontId="19" fillId="0" borderId="21" xfId="0" applyFont="1" applyBorder="1"/>
    <xf numFmtId="0" fontId="25" fillId="0" borderId="0" xfId="0" applyFont="1"/>
    <xf numFmtId="0" fontId="25" fillId="0" borderId="0" xfId="0" applyFont="1" applyBorder="1"/>
    <xf numFmtId="0" fontId="26" fillId="0" borderId="31" xfId="0" applyFont="1" applyBorder="1" applyAlignment="1">
      <alignment vertical="center"/>
    </xf>
    <xf numFmtId="0" fontId="26" fillId="0" borderId="14" xfId="0" applyFont="1" applyBorder="1" applyAlignment="1">
      <alignment horizontal="center" vertical="center"/>
    </xf>
    <xf numFmtId="0" fontId="29" fillId="0" borderId="8" xfId="0" applyFont="1" applyBorder="1" applyAlignment="1"/>
    <xf numFmtId="0" fontId="29" fillId="0" borderId="8" xfId="0" applyFont="1" applyBorder="1" applyAlignment="1">
      <alignment horizontal="center" vertical="center"/>
    </xf>
    <xf numFmtId="0" fontId="29" fillId="0" borderId="9" xfId="0" applyFont="1" applyBorder="1"/>
    <xf numFmtId="0" fontId="29" fillId="0" borderId="12" xfId="0" applyFont="1" applyBorder="1"/>
    <xf numFmtId="0" fontId="30" fillId="0" borderId="0" xfId="0" applyFont="1"/>
    <xf numFmtId="0" fontId="30" fillId="0" borderId="0" xfId="0" applyFont="1" applyFill="1"/>
    <xf numFmtId="0" fontId="30" fillId="0" borderId="0" xfId="0" applyFont="1" applyAlignment="1"/>
    <xf numFmtId="0" fontId="31" fillId="0" borderId="0" xfId="5" applyFont="1" applyFill="1" applyAlignment="1"/>
    <xf numFmtId="0" fontId="32" fillId="0" borderId="0" xfId="5" applyFont="1" applyFill="1" applyAlignment="1"/>
    <xf numFmtId="0" fontId="32" fillId="0" borderId="0" xfId="5" applyFont="1" applyFill="1" applyAlignment="1">
      <alignment horizontal="left"/>
    </xf>
    <xf numFmtId="0" fontId="33" fillId="0" borderId="0" xfId="0" applyFont="1" applyFill="1" applyAlignment="1"/>
    <xf numFmtId="0" fontId="34" fillId="0" borderId="0" xfId="0" applyFont="1" applyFill="1" applyAlignment="1">
      <alignment horizontal="center"/>
    </xf>
    <xf numFmtId="0" fontId="34" fillId="0" borderId="0" xfId="0" applyFont="1" applyFill="1" applyAlignment="1"/>
    <xf numFmtId="0" fontId="36" fillId="0" borderId="51" xfId="0" applyFont="1" applyBorder="1" applyAlignment="1">
      <alignment vertical="center"/>
    </xf>
    <xf numFmtId="0" fontId="15" fillId="0" borderId="54" xfId="0" applyFont="1" applyBorder="1" applyAlignment="1">
      <alignment vertical="center"/>
    </xf>
    <xf numFmtId="0" fontId="36" fillId="0" borderId="57" xfId="0" applyFont="1" applyBorder="1" applyAlignment="1">
      <alignment vertical="center"/>
    </xf>
    <xf numFmtId="0" fontId="15" fillId="0" borderId="56" xfId="0" applyFont="1" applyBorder="1" applyAlignment="1">
      <alignment vertical="center"/>
    </xf>
    <xf numFmtId="0" fontId="36" fillId="0" borderId="59" xfId="0" applyFont="1" applyBorder="1" applyAlignment="1">
      <alignment vertical="center"/>
    </xf>
    <xf numFmtId="0" fontId="42" fillId="0" borderId="60" xfId="0" applyFont="1" applyBorder="1" applyAlignment="1">
      <alignment vertical="center" wrapText="1"/>
    </xf>
    <xf numFmtId="0" fontId="42" fillId="0" borderId="61" xfId="0" applyFont="1" applyBorder="1" applyAlignment="1">
      <alignment vertical="center" wrapText="1"/>
    </xf>
    <xf numFmtId="0" fontId="36" fillId="0" borderId="52" xfId="0" applyFont="1" applyBorder="1" applyAlignment="1">
      <alignment vertical="center"/>
    </xf>
    <xf numFmtId="0" fontId="15" fillId="0" borderId="51" xfId="0" applyFont="1" applyBorder="1" applyAlignment="1">
      <alignment vertical="center"/>
    </xf>
    <xf numFmtId="0" fontId="43" fillId="0" borderId="55" xfId="0" applyFont="1" applyBorder="1" applyAlignment="1">
      <alignment vertical="center"/>
    </xf>
    <xf numFmtId="0" fontId="43" fillId="0" borderId="56" xfId="0" applyFont="1" applyBorder="1" applyAlignment="1">
      <alignment vertical="center"/>
    </xf>
    <xf numFmtId="0" fontId="36" fillId="0" borderId="61" xfId="0" applyFont="1" applyBorder="1" applyAlignment="1">
      <alignment vertical="center"/>
    </xf>
    <xf numFmtId="0" fontId="37" fillId="0" borderId="62" xfId="0" applyFont="1" applyBorder="1" applyAlignment="1">
      <alignment vertical="center"/>
    </xf>
    <xf numFmtId="0" fontId="44" fillId="0" borderId="0" xfId="0" applyFont="1" applyBorder="1" applyAlignment="1">
      <alignment horizontal="center"/>
    </xf>
    <xf numFmtId="0" fontId="44" fillId="0" borderId="0" xfId="0" applyFont="1" applyBorder="1" applyAlignment="1"/>
    <xf numFmtId="0" fontId="44" fillId="0" borderId="0" xfId="0" applyFont="1" applyBorder="1" applyAlignment="1">
      <alignment horizontal="left"/>
    </xf>
    <xf numFmtId="0" fontId="15" fillId="0" borderId="0" xfId="0" applyFont="1" applyFill="1" applyAlignment="1">
      <alignment horizontal="left"/>
    </xf>
    <xf numFmtId="0" fontId="15" fillId="0" borderId="0" xfId="0" applyFont="1" applyAlignment="1">
      <alignment horizontal="left"/>
    </xf>
    <xf numFmtId="0" fontId="45" fillId="0" borderId="0" xfId="0" applyFont="1" applyAlignment="1">
      <alignment horizontal="center" vertical="center"/>
    </xf>
    <xf numFmtId="0" fontId="45" fillId="0" borderId="0" xfId="0" applyFont="1" applyAlignment="1">
      <alignment horizontal="right"/>
    </xf>
    <xf numFmtId="0" fontId="45" fillId="0" borderId="0" xfId="0" applyFont="1" applyAlignment="1"/>
    <xf numFmtId="0" fontId="45" fillId="0" borderId="0" xfId="0" applyFont="1" applyFill="1" applyAlignment="1">
      <alignment horizontal="center" vertical="center"/>
    </xf>
    <xf numFmtId="0" fontId="45" fillId="0" borderId="0" xfId="0" applyFont="1" applyFill="1" applyAlignment="1">
      <alignment horizontal="right"/>
    </xf>
    <xf numFmtId="0" fontId="15" fillId="0" borderId="0" xfId="0" applyFont="1" applyAlignment="1"/>
    <xf numFmtId="0" fontId="45" fillId="0" borderId="0" xfId="0" applyFont="1"/>
    <xf numFmtId="0" fontId="30" fillId="0" borderId="0" xfId="0" applyFont="1" applyBorder="1" applyAlignment="1"/>
    <xf numFmtId="0" fontId="46" fillId="0" borderId="0" xfId="0" applyFont="1"/>
    <xf numFmtId="0" fontId="30" fillId="0" borderId="0" xfId="0" applyFont="1" applyBorder="1" applyAlignment="1">
      <alignment horizontal="center"/>
    </xf>
    <xf numFmtId="0" fontId="30" fillId="0" borderId="0" xfId="0" applyFont="1" applyBorder="1"/>
    <xf numFmtId="0" fontId="33" fillId="0" borderId="0" xfId="0" applyFont="1" applyFill="1"/>
    <xf numFmtId="0" fontId="41" fillId="0" borderId="27" xfId="0" applyFont="1" applyBorder="1" applyAlignment="1">
      <alignment horizontal="center" vertical="center"/>
    </xf>
    <xf numFmtId="43" fontId="30" fillId="0" borderId="0" xfId="0" applyNumberFormat="1" applyFont="1"/>
    <xf numFmtId="0" fontId="48" fillId="0" borderId="0" xfId="0" applyFont="1"/>
    <xf numFmtId="0" fontId="43" fillId="0" borderId="0" xfId="0" applyFont="1" applyBorder="1" applyAlignment="1">
      <alignment vertical="center"/>
    </xf>
    <xf numFmtId="0" fontId="15" fillId="0" borderId="0" xfId="0" applyFont="1" applyFill="1" applyAlignment="1"/>
    <xf numFmtId="43" fontId="15" fillId="0" borderId="0" xfId="0" applyNumberFormat="1" applyFont="1" applyFill="1" applyAlignment="1"/>
    <xf numFmtId="43" fontId="15" fillId="0" borderId="0" xfId="1" applyFont="1" applyAlignment="1">
      <alignment horizontal="center"/>
    </xf>
    <xf numFmtId="43" fontId="15" fillId="0" borderId="0" xfId="1" applyFont="1" applyAlignment="1"/>
    <xf numFmtId="0" fontId="45" fillId="0" borderId="0" xfId="0" applyFont="1" applyAlignment="1">
      <alignment horizontal="center"/>
    </xf>
    <xf numFmtId="43" fontId="15" fillId="0" borderId="0" xfId="1" applyFont="1" applyAlignment="1">
      <alignment horizontal="left"/>
    </xf>
    <xf numFmtId="43" fontId="30" fillId="0" borderId="0" xfId="1" applyFont="1" applyAlignment="1"/>
    <xf numFmtId="43" fontId="49" fillId="0" borderId="0" xfId="1" applyFont="1" applyAlignment="1"/>
    <xf numFmtId="43" fontId="15" fillId="0" borderId="0" xfId="1" applyFont="1" applyFill="1" applyAlignment="1">
      <alignment horizontal="left"/>
    </xf>
    <xf numFmtId="43" fontId="30" fillId="0" borderId="0" xfId="1" applyFont="1" applyFill="1" applyAlignment="1"/>
    <xf numFmtId="43" fontId="49" fillId="0" borderId="0" xfId="1" applyFont="1" applyFill="1" applyAlignment="1"/>
    <xf numFmtId="43" fontId="15" fillId="0" borderId="0" xfId="1" applyFont="1"/>
    <xf numFmtId="0" fontId="42" fillId="0" borderId="18" xfId="0" applyFont="1" applyBorder="1" applyAlignment="1"/>
    <xf numFmtId="43" fontId="15" fillId="0" borderId="18" xfId="0" applyNumberFormat="1" applyFont="1" applyBorder="1" applyAlignment="1"/>
    <xf numFmtId="0" fontId="15" fillId="0" borderId="0" xfId="0" applyFont="1" applyBorder="1" applyAlignment="1"/>
    <xf numFmtId="43" fontId="15" fillId="0" borderId="0" xfId="1" applyFont="1" applyBorder="1" applyAlignment="1"/>
    <xf numFmtId="0" fontId="43" fillId="0" borderId="0" xfId="0" applyFont="1" applyBorder="1" applyAlignment="1">
      <alignment horizontal="left"/>
    </xf>
    <xf numFmtId="0" fontId="15" fillId="0" borderId="0" xfId="0" applyFont="1" applyBorder="1" applyAlignment="1">
      <alignment horizontal="center"/>
    </xf>
    <xf numFmtId="43" fontId="15" fillId="0" borderId="0" xfId="1" applyFont="1" applyBorder="1" applyAlignment="1">
      <alignment horizontal="center"/>
    </xf>
    <xf numFmtId="0" fontId="42" fillId="0" borderId="0" xfId="0" applyFont="1"/>
    <xf numFmtId="164" fontId="50" fillId="0" borderId="68" xfId="0" applyNumberFormat="1" applyFont="1" applyBorder="1"/>
    <xf numFmtId="43" fontId="30" fillId="0" borderId="69" xfId="0" applyNumberFormat="1" applyFont="1" applyBorder="1"/>
    <xf numFmtId="0" fontId="0" fillId="0" borderId="0" xfId="0" applyAlignment="1"/>
    <xf numFmtId="0" fontId="51" fillId="0" borderId="0" xfId="5" applyFont="1" applyFill="1" applyAlignment="1"/>
    <xf numFmtId="0" fontId="0" fillId="0" borderId="0" xfId="0" applyFill="1"/>
    <xf numFmtId="0" fontId="52" fillId="0" borderId="0" xfId="5" applyFont="1" applyFill="1" applyAlignment="1"/>
    <xf numFmtId="0" fontId="53" fillId="0" borderId="0" xfId="5" applyFont="1" applyFill="1" applyAlignment="1">
      <alignment horizontal="left"/>
    </xf>
    <xf numFmtId="0" fontId="54" fillId="0" borderId="0" xfId="0" applyFont="1" applyFill="1" applyAlignment="1"/>
    <xf numFmtId="0" fontId="55" fillId="0" borderId="0" xfId="0" applyFont="1" applyFill="1" applyAlignment="1">
      <alignment horizontal="center"/>
    </xf>
    <xf numFmtId="0" fontId="55" fillId="0" borderId="0" xfId="0" applyFont="1" applyFill="1" applyAlignment="1"/>
    <xf numFmtId="0" fontId="36" fillId="0" borderId="0" xfId="0" applyFont="1" applyBorder="1" applyAlignment="1">
      <alignment vertical="center"/>
    </xf>
    <xf numFmtId="0" fontId="56" fillId="0" borderId="0" xfId="0" applyFont="1" applyAlignment="1">
      <alignment horizontal="right"/>
    </xf>
    <xf numFmtId="0" fontId="15" fillId="0" borderId="67" xfId="0" applyFont="1" applyBorder="1"/>
    <xf numFmtId="0" fontId="15" fillId="0" borderId="67" xfId="0" applyFont="1" applyBorder="1" applyAlignment="1">
      <alignment vertical="center"/>
    </xf>
    <xf numFmtId="0" fontId="57" fillId="0" borderId="0" xfId="0" applyFont="1" applyBorder="1" applyAlignment="1">
      <alignment horizontal="left" vertical="center" wrapText="1"/>
    </xf>
    <xf numFmtId="0" fontId="50" fillId="0" borderId="58" xfId="0" applyFont="1" applyBorder="1" applyAlignment="1">
      <alignment vertical="center"/>
    </xf>
    <xf numFmtId="0" fontId="50" fillId="0" borderId="0" xfId="0" applyFont="1" applyBorder="1" applyAlignment="1">
      <alignment vertical="center"/>
    </xf>
    <xf numFmtId="0" fontId="36" fillId="0" borderId="0" xfId="0" applyFont="1" applyBorder="1" applyAlignment="1">
      <alignment horizontal="left" vertical="center" wrapText="1"/>
    </xf>
    <xf numFmtId="0" fontId="54" fillId="0" borderId="0" xfId="0" applyFont="1" applyFill="1"/>
    <xf numFmtId="0" fontId="36" fillId="0" borderId="72" xfId="0" applyFont="1" applyBorder="1" applyAlignment="1">
      <alignment horizontal="left" vertical="center"/>
    </xf>
    <xf numFmtId="0" fontId="43" fillId="0" borderId="72" xfId="0" applyFont="1" applyBorder="1" applyAlignment="1">
      <alignment horizontal="left" vertical="center"/>
    </xf>
    <xf numFmtId="0" fontId="43" fillId="0" borderId="72" xfId="1" applyNumberFormat="1" applyFont="1" applyBorder="1" applyAlignment="1">
      <alignment horizontal="left" vertical="center"/>
    </xf>
    <xf numFmtId="0" fontId="43" fillId="0" borderId="72" xfId="0" applyFont="1" applyBorder="1" applyAlignment="1">
      <alignment vertical="center"/>
    </xf>
    <xf numFmtId="0" fontId="43" fillId="0" borderId="73" xfId="0" applyFont="1" applyBorder="1" applyAlignment="1">
      <alignment vertical="center"/>
    </xf>
    <xf numFmtId="43" fontId="0" fillId="0" borderId="0" xfId="0" applyNumberFormat="1"/>
    <xf numFmtId="43" fontId="45" fillId="0" borderId="0" xfId="1" applyFont="1" applyAlignment="1">
      <alignment horizontal="center"/>
    </xf>
    <xf numFmtId="0" fontId="15" fillId="0" borderId="0" xfId="0" applyFont="1" applyAlignment="1">
      <alignment horizontal="right"/>
    </xf>
    <xf numFmtId="43" fontId="59" fillId="0" borderId="0" xfId="1" applyFont="1" applyAlignment="1"/>
    <xf numFmtId="43" fontId="60" fillId="0" borderId="0" xfId="1" applyFont="1" applyAlignment="1"/>
    <xf numFmtId="43" fontId="45" fillId="0" borderId="0" xfId="1" applyFont="1" applyAlignment="1"/>
    <xf numFmtId="0" fontId="15" fillId="0" borderId="0" xfId="0" applyFont="1" applyBorder="1" applyAlignment="1">
      <alignment horizontal="left"/>
    </xf>
    <xf numFmtId="0" fontId="42" fillId="0" borderId="0" xfId="0" applyFont="1" applyBorder="1" applyAlignment="1">
      <alignment horizontal="center"/>
    </xf>
    <xf numFmtId="164" fontId="50" fillId="0" borderId="68" xfId="0" applyNumberFormat="1" applyFont="1" applyBorder="1" applyAlignment="1">
      <alignment horizontal="center"/>
    </xf>
    <xf numFmtId="0" fontId="36" fillId="0" borderId="53" xfId="0" applyFont="1" applyBorder="1" applyAlignment="1">
      <alignment horizontal="left" vertical="center" wrapText="1"/>
    </xf>
    <xf numFmtId="0" fontId="50" fillId="0" borderId="67" xfId="0" applyFont="1" applyBorder="1" applyAlignment="1">
      <alignment vertical="center"/>
    </xf>
    <xf numFmtId="0" fontId="15" fillId="0" borderId="67" xfId="0" applyFont="1" applyBorder="1" applyAlignment="1">
      <alignment horizontal="center"/>
    </xf>
    <xf numFmtId="0" fontId="50" fillId="0" borderId="55" xfId="0" applyFont="1" applyBorder="1" applyAlignment="1">
      <alignment vertical="center"/>
    </xf>
    <xf numFmtId="0" fontId="61" fillId="0" borderId="0" xfId="0" applyFont="1"/>
    <xf numFmtId="0" fontId="15" fillId="0" borderId="53" xfId="0" applyFont="1" applyBorder="1" applyAlignment="1">
      <alignment horizontal="center"/>
    </xf>
    <xf numFmtId="0" fontId="36" fillId="0" borderId="56" xfId="0" applyFont="1" applyBorder="1" applyAlignment="1">
      <alignment vertical="center"/>
    </xf>
    <xf numFmtId="0" fontId="30" fillId="0" borderId="53" xfId="0" applyFont="1" applyBorder="1"/>
    <xf numFmtId="0" fontId="37" fillId="0" borderId="63" xfId="0" applyFont="1" applyBorder="1" applyAlignment="1">
      <alignment vertical="center"/>
    </xf>
    <xf numFmtId="0" fontId="42" fillId="0" borderId="0" xfId="0" applyFont="1" applyBorder="1" applyAlignment="1"/>
    <xf numFmtId="0" fontId="45" fillId="0" borderId="0" xfId="0" applyFont="1" applyBorder="1"/>
    <xf numFmtId="0" fontId="57" fillId="0" borderId="75" xfId="0" applyFont="1" applyBorder="1" applyAlignment="1">
      <alignment horizontal="left" vertical="center" wrapText="1"/>
    </xf>
    <xf numFmtId="0" fontId="15" fillId="0" borderId="9" xfId="0" applyFont="1" applyBorder="1" applyAlignment="1">
      <alignment vertical="center"/>
    </xf>
    <xf numFmtId="43" fontId="39" fillId="0" borderId="0" xfId="0" applyNumberFormat="1" applyFont="1" applyBorder="1" applyAlignment="1"/>
    <xf numFmtId="0" fontId="57" fillId="0" borderId="77" xfId="0" applyFont="1" applyBorder="1" applyAlignment="1">
      <alignment horizontal="left" vertical="center" wrapText="1"/>
    </xf>
    <xf numFmtId="0" fontId="50" fillId="0" borderId="78" xfId="0" applyFont="1" applyBorder="1" applyAlignment="1">
      <alignment vertical="center"/>
    </xf>
    <xf numFmtId="0" fontId="15" fillId="0" borderId="54" xfId="0" applyFont="1" applyBorder="1"/>
    <xf numFmtId="0" fontId="15" fillId="0" borderId="80" xfId="0" applyFont="1" applyBorder="1" applyAlignment="1">
      <alignment horizontal="center"/>
    </xf>
    <xf numFmtId="0" fontId="36" fillId="0" borderId="81" xfId="0" applyFont="1" applyBorder="1" applyAlignment="1">
      <alignment vertical="center"/>
    </xf>
    <xf numFmtId="0" fontId="22" fillId="0" borderId="5" xfId="0" applyFont="1" applyBorder="1" applyAlignment="1"/>
    <xf numFmtId="0" fontId="0" fillId="0" borderId="0" xfId="0"/>
    <xf numFmtId="0" fontId="66" fillId="0" borderId="70" xfId="0" applyFont="1" applyBorder="1" applyAlignment="1">
      <alignment vertical="center"/>
    </xf>
    <xf numFmtId="0" fontId="68" fillId="0" borderId="71" xfId="0" applyFont="1" applyBorder="1" applyAlignment="1">
      <alignment horizontal="left" vertical="center"/>
    </xf>
    <xf numFmtId="0" fontId="68" fillId="0" borderId="72" xfId="0" applyFont="1" applyBorder="1" applyAlignment="1">
      <alignment horizontal="left" vertical="center"/>
    </xf>
    <xf numFmtId="0" fontId="69" fillId="0" borderId="72" xfId="0" applyFont="1" applyBorder="1" applyAlignment="1">
      <alignment horizontal="left" vertical="center"/>
    </xf>
    <xf numFmtId="0" fontId="69" fillId="0" borderId="72" xfId="14" applyNumberFormat="1" applyFont="1" applyBorder="1" applyAlignment="1">
      <alignment horizontal="left" vertical="center"/>
    </xf>
    <xf numFmtId="0" fontId="69" fillId="0" borderId="72" xfId="0" applyFont="1" applyBorder="1" applyAlignment="1">
      <alignment vertical="center"/>
    </xf>
    <xf numFmtId="0" fontId="69" fillId="0" borderId="73" xfId="0" applyFont="1" applyBorder="1" applyAlignment="1">
      <alignment vertical="center"/>
    </xf>
    <xf numFmtId="0" fontId="36" fillId="0" borderId="51" xfId="13" applyFont="1" applyBorder="1" applyAlignment="1">
      <alignment vertical="center"/>
    </xf>
    <xf numFmtId="0" fontId="15" fillId="0" borderId="54" xfId="13" applyFont="1" applyBorder="1" applyAlignment="1">
      <alignment vertical="center"/>
    </xf>
    <xf numFmtId="0" fontId="36" fillId="0" borderId="57" xfId="13" applyFont="1" applyBorder="1" applyAlignment="1">
      <alignment vertical="center"/>
    </xf>
    <xf numFmtId="0" fontId="15" fillId="0" borderId="56" xfId="13" applyFont="1" applyBorder="1" applyAlignment="1">
      <alignment vertical="center"/>
    </xf>
    <xf numFmtId="0" fontId="36" fillId="0" borderId="59" xfId="13" applyFont="1" applyBorder="1" applyAlignment="1">
      <alignment vertical="center"/>
    </xf>
    <xf numFmtId="0" fontId="42" fillId="0" borderId="60" xfId="13" applyFont="1" applyBorder="1" applyAlignment="1">
      <alignment vertical="center" wrapText="1"/>
    </xf>
    <xf numFmtId="0" fontId="42" fillId="0" borderId="61" xfId="13" applyFont="1" applyBorder="1" applyAlignment="1">
      <alignment vertical="center" wrapText="1"/>
    </xf>
    <xf numFmtId="0" fontId="36" fillId="0" borderId="52" xfId="13" applyFont="1" applyBorder="1" applyAlignment="1">
      <alignment vertical="center"/>
    </xf>
    <xf numFmtId="0" fontId="15" fillId="0" borderId="51" xfId="13" applyFont="1" applyBorder="1" applyAlignment="1">
      <alignment vertical="center"/>
    </xf>
    <xf numFmtId="0" fontId="43" fillId="0" borderId="55" xfId="13" applyFont="1" applyBorder="1" applyAlignment="1">
      <alignment vertical="center"/>
    </xf>
    <xf numFmtId="0" fontId="43" fillId="0" borderId="56" xfId="13" applyFont="1" applyBorder="1" applyAlignment="1">
      <alignment vertical="center"/>
    </xf>
    <xf numFmtId="0" fontId="36" fillId="0" borderId="61" xfId="13" applyFont="1" applyBorder="1" applyAlignment="1">
      <alignment vertical="center"/>
    </xf>
    <xf numFmtId="0" fontId="37" fillId="0" borderId="62" xfId="13" applyFont="1" applyBorder="1" applyAlignment="1">
      <alignment vertical="center"/>
    </xf>
    <xf numFmtId="0" fontId="36" fillId="0" borderId="63" xfId="13" applyFont="1" applyBorder="1" applyAlignment="1">
      <alignment vertical="center"/>
    </xf>
    <xf numFmtId="0" fontId="15" fillId="0" borderId="0" xfId="0" applyFont="1" applyAlignment="1"/>
    <xf numFmtId="0" fontId="44" fillId="0" borderId="0" xfId="0" applyFont="1" applyFill="1" applyBorder="1" applyAlignment="1">
      <alignment horizontal="center"/>
    </xf>
    <xf numFmtId="0" fontId="15" fillId="0" borderId="0" xfId="0" applyFont="1" applyFill="1" applyBorder="1" applyAlignment="1">
      <alignment horizontal="left"/>
    </xf>
    <xf numFmtId="0" fontId="40" fillId="0" borderId="58" xfId="0" applyFont="1" applyBorder="1" applyAlignment="1">
      <alignment horizontal="center" vertical="center"/>
    </xf>
    <xf numFmtId="0" fontId="40" fillId="0" borderId="0" xfId="0" applyFont="1" applyBorder="1" applyAlignment="1">
      <alignment horizontal="center" vertical="center"/>
    </xf>
    <xf numFmtId="0" fontId="40" fillId="0" borderId="53" xfId="0" applyFont="1" applyBorder="1" applyAlignment="1">
      <alignment horizontal="center" vertical="center"/>
    </xf>
    <xf numFmtId="0" fontId="40" fillId="0" borderId="55" xfId="0" applyFont="1" applyBorder="1" applyAlignment="1">
      <alignment horizontal="center" vertical="center"/>
    </xf>
    <xf numFmtId="0" fontId="40" fillId="0" borderId="67" xfId="0" applyFont="1" applyBorder="1" applyAlignment="1">
      <alignment horizontal="center" vertical="center"/>
    </xf>
    <xf numFmtId="0" fontId="40" fillId="0" borderId="56" xfId="0" applyFont="1" applyBorder="1" applyAlignment="1">
      <alignment horizontal="center" vertical="center"/>
    </xf>
    <xf numFmtId="0" fontId="38" fillId="0" borderId="17" xfId="0" applyNumberFormat="1" applyFont="1" applyBorder="1" applyAlignment="1">
      <alignment horizontal="center" vertical="center"/>
    </xf>
    <xf numFmtId="0" fontId="38" fillId="0" borderId="53" xfId="0" applyNumberFormat="1" applyFont="1" applyBorder="1" applyAlignment="1">
      <alignment horizontal="center" vertical="center"/>
    </xf>
    <xf numFmtId="0" fontId="38" fillId="0" borderId="37" xfId="0" applyNumberFormat="1" applyFont="1" applyBorder="1" applyAlignment="1">
      <alignment horizontal="center" vertical="center"/>
    </xf>
    <xf numFmtId="0" fontId="38" fillId="0" borderId="56" xfId="0" applyNumberFormat="1" applyFont="1" applyBorder="1" applyAlignment="1">
      <alignment horizontal="center" vertical="center"/>
    </xf>
    <xf numFmtId="0" fontId="39" fillId="0" borderId="52" xfId="0" applyFont="1" applyBorder="1" applyAlignment="1">
      <alignment horizontal="center" vertical="center"/>
    </xf>
    <xf numFmtId="0" fontId="39" fillId="0" borderId="64" xfId="0" applyFont="1" applyBorder="1" applyAlignment="1">
      <alignment horizontal="center" vertical="center"/>
    </xf>
    <xf numFmtId="0" fontId="39" fillId="0" borderId="51" xfId="0" applyFont="1" applyBorder="1" applyAlignment="1">
      <alignment horizontal="center" vertical="center"/>
    </xf>
    <xf numFmtId="0" fontId="39" fillId="0" borderId="58" xfId="0" applyFont="1" applyBorder="1" applyAlignment="1">
      <alignment horizontal="center" vertical="center"/>
    </xf>
    <xf numFmtId="0" fontId="39" fillId="0" borderId="0" xfId="0" applyFont="1" applyBorder="1" applyAlignment="1">
      <alignment horizontal="center" vertical="center"/>
    </xf>
    <xf numFmtId="0" fontId="39" fillId="0" borderId="53" xfId="0" applyFont="1" applyBorder="1" applyAlignment="1">
      <alignment horizontal="center" vertical="center"/>
    </xf>
    <xf numFmtId="0" fontId="39" fillId="0" borderId="55" xfId="0" applyFont="1" applyBorder="1" applyAlignment="1">
      <alignment horizontal="center" vertical="center"/>
    </xf>
    <xf numFmtId="0" fontId="39" fillId="0" borderId="67" xfId="0" applyFont="1" applyBorder="1" applyAlignment="1">
      <alignment horizontal="center" vertical="center"/>
    </xf>
    <xf numFmtId="0" fontId="39" fillId="0" borderId="56" xfId="0" applyFont="1" applyBorder="1" applyAlignment="1">
      <alignment horizontal="center" vertical="center"/>
    </xf>
    <xf numFmtId="0" fontId="41" fillId="0" borderId="58" xfId="0" applyFont="1" applyBorder="1" applyAlignment="1">
      <alignment horizontal="center" vertical="center" wrapText="1"/>
    </xf>
    <xf numFmtId="0" fontId="41" fillId="0" borderId="0" xfId="0" applyFont="1" applyBorder="1" applyAlignment="1">
      <alignment horizontal="center" vertical="center" wrapText="1"/>
    </xf>
    <xf numFmtId="0" fontId="41" fillId="0" borderId="53" xfId="0" applyFont="1" applyBorder="1" applyAlignment="1">
      <alignment horizontal="center" vertical="center" wrapText="1"/>
    </xf>
    <xf numFmtId="0" fontId="41" fillId="0" borderId="55" xfId="0" applyFont="1" applyBorder="1" applyAlignment="1">
      <alignment horizontal="center" vertical="center" wrapText="1"/>
    </xf>
    <xf numFmtId="0" fontId="41" fillId="0" borderId="67" xfId="0" applyFont="1" applyBorder="1" applyAlignment="1">
      <alignment horizontal="center" vertical="center" wrapText="1"/>
    </xf>
    <xf numFmtId="0" fontId="41" fillId="0" borderId="56" xfId="0" applyFont="1" applyBorder="1" applyAlignment="1">
      <alignment horizontal="center" vertical="center" wrapText="1"/>
    </xf>
    <xf numFmtId="0" fontId="41" fillId="0" borderId="52" xfId="0" applyFont="1" applyBorder="1" applyAlignment="1">
      <alignment horizontal="center" vertical="center" wrapText="1"/>
    </xf>
    <xf numFmtId="0" fontId="41" fillId="0" borderId="64" xfId="0" applyFont="1" applyBorder="1" applyAlignment="1">
      <alignment horizontal="center" vertical="center" wrapText="1"/>
    </xf>
    <xf numFmtId="0" fontId="41" fillId="0" borderId="51" xfId="0" applyFont="1" applyBorder="1" applyAlignment="1">
      <alignment horizontal="center" vertical="center" wrapText="1"/>
    </xf>
    <xf numFmtId="0" fontId="37" fillId="0" borderId="50" xfId="0" applyFont="1" applyBorder="1" applyAlignment="1">
      <alignment horizontal="left" vertical="center"/>
    </xf>
    <xf numFmtId="0" fontId="37" fillId="0" borderId="51" xfId="0" applyFont="1" applyBorder="1" applyAlignment="1">
      <alignment horizontal="left" vertical="center"/>
    </xf>
    <xf numFmtId="20" fontId="15" fillId="0" borderId="37" xfId="0" applyNumberFormat="1" applyFont="1" applyBorder="1" applyAlignment="1">
      <alignment horizontal="center" vertical="center"/>
    </xf>
    <xf numFmtId="20" fontId="15" fillId="0" borderId="56" xfId="0" applyNumberFormat="1"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37" xfId="0" applyNumberFormat="1" applyFont="1" applyBorder="1" applyAlignment="1">
      <alignment horizontal="center" vertical="center"/>
    </xf>
    <xf numFmtId="0" fontId="15" fillId="0" borderId="56" xfId="0" applyNumberFormat="1" applyFont="1" applyBorder="1" applyAlignment="1">
      <alignment horizontal="center" vertical="center"/>
    </xf>
    <xf numFmtId="0" fontId="36" fillId="0" borderId="52" xfId="0" applyFont="1" applyBorder="1" applyAlignment="1">
      <alignment horizontal="left" vertical="center"/>
    </xf>
    <xf numFmtId="0" fontId="36" fillId="0" borderId="64" xfId="0" applyFont="1" applyBorder="1" applyAlignment="1">
      <alignment horizontal="left" vertical="center"/>
    </xf>
    <xf numFmtId="0" fontId="36" fillId="0" borderId="51" xfId="0" applyFont="1" applyBorder="1" applyAlignment="1">
      <alignment horizontal="left" vertical="center"/>
    </xf>
    <xf numFmtId="0" fontId="44" fillId="0" borderId="0" xfId="0" applyFont="1" applyBorder="1" applyAlignment="1">
      <alignment horizontal="center"/>
    </xf>
    <xf numFmtId="0" fontId="44" fillId="0" borderId="0" xfId="0" applyFont="1" applyBorder="1" applyAlignment="1">
      <alignment horizontal="left"/>
    </xf>
    <xf numFmtId="0" fontId="36" fillId="0" borderId="79" xfId="0" applyFont="1" applyBorder="1" applyAlignment="1">
      <alignment horizontal="center" vertical="center"/>
    </xf>
    <xf numFmtId="0" fontId="36" fillId="0" borderId="80" xfId="0" applyFont="1" applyBorder="1" applyAlignment="1">
      <alignment horizontal="center" vertical="center"/>
    </xf>
    <xf numFmtId="0" fontId="57" fillId="0" borderId="74" xfId="0" applyFont="1" applyBorder="1" applyAlignment="1">
      <alignment horizontal="left" vertical="center" wrapText="1"/>
    </xf>
    <xf numFmtId="0" fontId="57" fillId="0" borderId="14" xfId="0" applyFont="1" applyBorder="1" applyAlignment="1">
      <alignment horizontal="left" vertical="center" wrapText="1"/>
    </xf>
    <xf numFmtId="0" fontId="57" fillId="0" borderId="76" xfId="0" applyFont="1" applyBorder="1" applyAlignment="1">
      <alignment horizontal="left" vertical="center" wrapText="1"/>
    </xf>
    <xf numFmtId="0" fontId="57" fillId="0" borderId="75" xfId="0" applyFont="1" applyBorder="1" applyAlignment="1">
      <alignment horizontal="left" vertical="center" wrapText="1"/>
    </xf>
    <xf numFmtId="0" fontId="57" fillId="0" borderId="0" xfId="0" applyFont="1" applyBorder="1" applyAlignment="1">
      <alignment horizontal="left" vertical="center" wrapText="1"/>
    </xf>
    <xf numFmtId="0" fontId="57" fillId="0" borderId="77" xfId="0" applyFont="1" applyBorder="1" applyAlignment="1">
      <alignment horizontal="left" vertical="center" wrapText="1"/>
    </xf>
    <xf numFmtId="0" fontId="15" fillId="0" borderId="0" xfId="0" applyFont="1" applyAlignment="1">
      <alignment horizontal="left"/>
    </xf>
    <xf numFmtId="0" fontId="43" fillId="0" borderId="20" xfId="0" applyFont="1" applyBorder="1" applyAlignment="1">
      <alignment horizontal="center" vertical="center"/>
    </xf>
    <xf numFmtId="0" fontId="43" fillId="0" borderId="65" xfId="0" applyFont="1" applyBorder="1" applyAlignment="1">
      <alignment horizontal="center" vertical="center"/>
    </xf>
    <xf numFmtId="0" fontId="43" fillId="0" borderId="66" xfId="0" applyFont="1" applyBorder="1" applyAlignment="1">
      <alignment horizontal="center" vertical="center"/>
    </xf>
    <xf numFmtId="0" fontId="43" fillId="0" borderId="18" xfId="0" applyFont="1" applyBorder="1" applyAlignment="1">
      <alignment horizontal="center" vertical="center"/>
    </xf>
    <xf numFmtId="49" fontId="43" fillId="0" borderId="66" xfId="0" applyNumberFormat="1" applyFont="1" applyBorder="1" applyAlignment="1">
      <alignment horizontal="center" vertical="center"/>
    </xf>
    <xf numFmtId="49" fontId="43" fillId="0" borderId="65" xfId="0" applyNumberFormat="1" applyFont="1" applyBorder="1" applyAlignment="1">
      <alignment horizontal="center" vertical="center"/>
    </xf>
    <xf numFmtId="165" fontId="36" fillId="0" borderId="66" xfId="1" applyNumberFormat="1" applyFont="1" applyBorder="1" applyAlignment="1">
      <alignment horizontal="center" vertical="center"/>
    </xf>
    <xf numFmtId="165" fontId="36" fillId="0" borderId="18" xfId="1" applyNumberFormat="1" applyFont="1" applyBorder="1" applyAlignment="1">
      <alignment horizontal="center" vertical="center"/>
    </xf>
    <xf numFmtId="165" fontId="36" fillId="0" borderId="65" xfId="1" applyNumberFormat="1" applyFont="1" applyBorder="1" applyAlignment="1">
      <alignment horizontal="center" vertical="center"/>
    </xf>
    <xf numFmtId="0" fontId="15" fillId="0" borderId="66" xfId="0" applyFont="1" applyBorder="1" applyAlignment="1">
      <alignment horizontal="center" vertical="center"/>
    </xf>
    <xf numFmtId="0" fontId="15" fillId="0" borderId="65" xfId="0" applyFont="1" applyBorder="1" applyAlignment="1">
      <alignment horizontal="center" vertical="center"/>
    </xf>
    <xf numFmtId="0" fontId="36" fillId="0" borderId="52" xfId="0" applyFont="1" applyBorder="1" applyAlignment="1">
      <alignment horizontal="center" vertical="center"/>
    </xf>
    <xf numFmtId="0" fontId="36" fillId="0" borderId="51" xfId="0" applyFont="1" applyBorder="1" applyAlignment="1">
      <alignment horizontal="center" vertical="center"/>
    </xf>
    <xf numFmtId="0" fontId="43" fillId="0" borderId="55" xfId="0" applyFont="1" applyBorder="1" applyAlignment="1">
      <alignment horizontal="center" vertical="center"/>
    </xf>
    <xf numFmtId="0" fontId="43" fillId="0" borderId="56" xfId="0" applyFont="1" applyBorder="1" applyAlignment="1">
      <alignment horizontal="center" vertical="center"/>
    </xf>
    <xf numFmtId="0" fontId="15" fillId="0" borderId="37" xfId="0" applyFont="1" applyBorder="1" applyAlignment="1">
      <alignment horizontal="center" vertical="center"/>
    </xf>
    <xf numFmtId="0" fontId="36" fillId="0" borderId="28" xfId="0" applyFont="1" applyBorder="1" applyAlignment="1">
      <alignment horizontal="left" vertical="center"/>
    </xf>
    <xf numFmtId="0" fontId="36" fillId="0" borderId="40" xfId="0" applyFont="1" applyBorder="1" applyAlignment="1">
      <alignment horizontal="left" vertical="center"/>
    </xf>
    <xf numFmtId="0" fontId="36" fillId="0" borderId="30" xfId="0" applyFont="1" applyBorder="1" applyAlignment="1">
      <alignment horizontal="left" vertical="center"/>
    </xf>
    <xf numFmtId="0" fontId="47" fillId="0" borderId="0" xfId="0" applyFont="1" applyAlignment="1">
      <alignment horizontal="left"/>
    </xf>
    <xf numFmtId="0" fontId="58" fillId="0" borderId="0" xfId="0" applyFont="1" applyAlignment="1">
      <alignment horizontal="left"/>
    </xf>
    <xf numFmtId="0" fontId="35" fillId="0" borderId="0" xfId="0" applyFont="1" applyBorder="1" applyAlignment="1">
      <alignment horizontal="center"/>
    </xf>
    <xf numFmtId="0" fontId="36" fillId="0" borderId="35" xfId="0" applyFont="1" applyBorder="1" applyAlignment="1">
      <alignment horizontal="left" vertical="center"/>
    </xf>
    <xf numFmtId="0" fontId="36" fillId="0" borderId="36" xfId="0" applyFont="1" applyBorder="1" applyAlignment="1">
      <alignment horizontal="left" vertical="center"/>
    </xf>
    <xf numFmtId="0" fontId="37" fillId="0" borderId="36" xfId="0" applyFont="1" applyBorder="1" applyAlignment="1">
      <alignment horizontal="right" vertical="center"/>
    </xf>
    <xf numFmtId="0" fontId="43" fillId="0" borderId="20" xfId="13" applyFont="1" applyBorder="1" applyAlignment="1">
      <alignment horizontal="center" vertical="center"/>
    </xf>
    <xf numFmtId="0" fontId="43" fillId="0" borderId="65" xfId="13" applyFont="1" applyBorder="1" applyAlignment="1">
      <alignment horizontal="center" vertical="center"/>
    </xf>
    <xf numFmtId="0" fontId="43" fillId="0" borderId="66" xfId="13" applyFont="1" applyBorder="1" applyAlignment="1">
      <alignment horizontal="center" vertical="center"/>
    </xf>
    <xf numFmtId="0" fontId="43" fillId="0" borderId="18" xfId="13" applyFont="1" applyBorder="1" applyAlignment="1">
      <alignment horizontal="center" vertical="center"/>
    </xf>
    <xf numFmtId="14" fontId="15" fillId="0" borderId="66" xfId="13" applyNumberFormat="1" applyFont="1" applyBorder="1" applyAlignment="1">
      <alignment horizontal="center" vertical="center"/>
    </xf>
    <xf numFmtId="14" fontId="15" fillId="0" borderId="65" xfId="13" applyNumberFormat="1" applyFont="1" applyBorder="1" applyAlignment="1">
      <alignment horizontal="center" vertical="center"/>
    </xf>
    <xf numFmtId="0" fontId="15" fillId="0" borderId="66" xfId="13" applyFont="1" applyBorder="1" applyAlignment="1">
      <alignment horizontal="center" vertical="center"/>
    </xf>
    <xf numFmtId="0" fontId="15" fillId="0" borderId="65" xfId="13" applyFont="1" applyBorder="1" applyAlignment="1">
      <alignment horizontal="center" vertical="center"/>
    </xf>
    <xf numFmtId="0" fontId="37" fillId="0" borderId="50" xfId="13" applyFont="1" applyBorder="1" applyAlignment="1">
      <alignment horizontal="left" vertical="center"/>
    </xf>
    <xf numFmtId="0" fontId="37" fillId="0" borderId="51" xfId="13" applyFont="1" applyBorder="1" applyAlignment="1">
      <alignment horizontal="left" vertical="center"/>
    </xf>
    <xf numFmtId="0" fontId="15" fillId="0" borderId="37" xfId="13" applyFont="1" applyBorder="1" applyAlignment="1">
      <alignment horizontal="center" vertical="center"/>
    </xf>
    <xf numFmtId="0" fontId="15" fillId="0" borderId="56" xfId="13" applyFont="1" applyBorder="1" applyAlignment="1">
      <alignment horizontal="center" vertical="center"/>
    </xf>
    <xf numFmtId="0" fontId="36" fillId="0" borderId="52" xfId="13" applyFont="1" applyBorder="1" applyAlignment="1">
      <alignment horizontal="left" vertical="center"/>
    </xf>
    <xf numFmtId="0" fontId="36" fillId="0" borderId="51" xfId="13" applyFont="1" applyBorder="1" applyAlignment="1">
      <alignment horizontal="left" vertical="center"/>
    </xf>
    <xf numFmtId="0" fontId="40" fillId="0" borderId="55" xfId="13" applyFont="1" applyBorder="1" applyAlignment="1">
      <alignment horizontal="center" vertical="center"/>
    </xf>
    <xf numFmtId="0" fontId="40" fillId="0" borderId="56" xfId="13" applyFont="1" applyBorder="1" applyAlignment="1">
      <alignment horizontal="center" vertical="center"/>
    </xf>
    <xf numFmtId="0" fontId="41" fillId="0" borderId="0" xfId="13" applyFont="1" applyAlignment="1">
      <alignment horizontal="center" vertical="center" wrapText="1"/>
    </xf>
    <xf numFmtId="0" fontId="36" fillId="0" borderId="64" xfId="13" applyFont="1" applyBorder="1" applyAlignment="1">
      <alignment horizontal="left" vertical="center"/>
    </xf>
    <xf numFmtId="0" fontId="40" fillId="0" borderId="58" xfId="13" applyFont="1" applyBorder="1" applyAlignment="1">
      <alignment horizontal="center" vertical="center"/>
    </xf>
    <xf numFmtId="0" fontId="40" fillId="0" borderId="0" xfId="13" applyFont="1" applyAlignment="1">
      <alignment horizontal="center" vertical="center"/>
    </xf>
    <xf numFmtId="0" fontId="40" fillId="0" borderId="53" xfId="13" applyFont="1" applyBorder="1" applyAlignment="1">
      <alignment horizontal="center" vertical="center"/>
    </xf>
    <xf numFmtId="0" fontId="40" fillId="0" borderId="67" xfId="13" applyFont="1" applyBorder="1" applyAlignment="1">
      <alignment horizontal="center" vertical="center"/>
    </xf>
    <xf numFmtId="0" fontId="15" fillId="0" borderId="55" xfId="13" applyFont="1" applyBorder="1" applyAlignment="1">
      <alignment horizontal="center" vertical="center"/>
    </xf>
    <xf numFmtId="0" fontId="42" fillId="0" borderId="18" xfId="0" applyFont="1" applyBorder="1" applyAlignment="1">
      <alignment horizontal="center"/>
    </xf>
    <xf numFmtId="0" fontId="15" fillId="0" borderId="0" xfId="0" applyFont="1" applyBorder="1" applyAlignment="1">
      <alignment horizontal="center"/>
    </xf>
    <xf numFmtId="0" fontId="57" fillId="0" borderId="58" xfId="0" applyFont="1" applyBorder="1" applyAlignment="1">
      <alignment horizontal="left" vertical="top" wrapText="1"/>
    </xf>
    <xf numFmtId="0" fontId="57" fillId="0" borderId="0" xfId="0" applyFont="1" applyBorder="1" applyAlignment="1">
      <alignment horizontal="left" vertical="top" wrapText="1"/>
    </xf>
    <xf numFmtId="0" fontId="57" fillId="0" borderId="53" xfId="0" applyFont="1" applyBorder="1" applyAlignment="1">
      <alignment horizontal="left" vertical="top" wrapText="1"/>
    </xf>
    <xf numFmtId="0" fontId="45" fillId="0" borderId="0" xfId="0" applyFont="1" applyAlignment="1">
      <alignment horizontal="center" vertical="center"/>
    </xf>
    <xf numFmtId="0" fontId="45" fillId="0" borderId="0" xfId="0" applyFont="1" applyAlignment="1">
      <alignment horizontal="center"/>
    </xf>
    <xf numFmtId="0" fontId="15" fillId="0" borderId="37" xfId="13" quotePrefix="1" applyFont="1" applyBorder="1" applyAlignment="1">
      <alignment horizontal="center" vertical="center"/>
    </xf>
    <xf numFmtId="0" fontId="36" fillId="0" borderId="67" xfId="0" applyFont="1" applyBorder="1" applyAlignment="1">
      <alignment horizontal="center" vertical="center"/>
    </xf>
    <xf numFmtId="0" fontId="57" fillId="0" borderId="52" xfId="0" applyFont="1" applyBorder="1" applyAlignment="1">
      <alignment horizontal="left" vertical="center" wrapText="1"/>
    </xf>
    <xf numFmtId="0" fontId="57" fillId="0" borderId="64" xfId="0" applyFont="1" applyBorder="1" applyAlignment="1">
      <alignment horizontal="left" vertical="center" wrapText="1"/>
    </xf>
    <xf numFmtId="0" fontId="57" fillId="0" borderId="51" xfId="0" applyFont="1" applyBorder="1" applyAlignment="1">
      <alignment horizontal="left" vertical="center" wrapText="1"/>
    </xf>
    <xf numFmtId="0" fontId="57" fillId="0" borderId="58" xfId="0" applyFont="1" applyBorder="1" applyAlignment="1">
      <alignment horizontal="left" vertical="center" wrapText="1"/>
    </xf>
    <xf numFmtId="0" fontId="57" fillId="0" borderId="53" xfId="0" applyFont="1" applyBorder="1" applyAlignment="1">
      <alignment horizontal="left" vertical="center" wrapText="1"/>
    </xf>
    <xf numFmtId="0" fontId="36" fillId="0" borderId="28" xfId="13" applyFont="1" applyBorder="1" applyAlignment="1">
      <alignment horizontal="left" vertical="center"/>
    </xf>
    <xf numFmtId="0" fontId="36" fillId="0" borderId="40" xfId="13" applyFont="1" applyBorder="1" applyAlignment="1">
      <alignment horizontal="left" vertical="center"/>
    </xf>
    <xf numFmtId="0" fontId="36" fillId="0" borderId="30" xfId="13" applyFont="1" applyBorder="1" applyAlignment="1">
      <alignment horizontal="left" vertical="center"/>
    </xf>
    <xf numFmtId="0" fontId="36" fillId="0" borderId="52" xfId="13" applyFont="1" applyBorder="1" applyAlignment="1">
      <alignment horizontal="center" vertical="center"/>
    </xf>
    <xf numFmtId="0" fontId="36" fillId="0" borderId="51" xfId="13" applyFont="1" applyBorder="1" applyAlignment="1">
      <alignment horizontal="center" vertical="center"/>
    </xf>
    <xf numFmtId="0" fontId="36" fillId="0" borderId="0" xfId="13" applyFont="1" applyAlignment="1">
      <alignment horizontal="left" vertical="center"/>
    </xf>
    <xf numFmtId="20" fontId="15" fillId="0" borderId="37" xfId="13" quotePrefix="1" applyNumberFormat="1" applyFont="1" applyBorder="1" applyAlignment="1">
      <alignment horizontal="center" vertical="center"/>
    </xf>
    <xf numFmtId="20" fontId="15" fillId="0" borderId="56" xfId="13" applyNumberFormat="1" applyFont="1" applyBorder="1" applyAlignment="1">
      <alignment horizontal="center" vertical="center"/>
    </xf>
    <xf numFmtId="0" fontId="23" fillId="0" borderId="50" xfId="13" applyFont="1" applyBorder="1" applyAlignment="1">
      <alignment horizontal="left" vertical="center"/>
    </xf>
    <xf numFmtId="0" fontId="23" fillId="0" borderId="51" xfId="13" applyFont="1" applyBorder="1" applyAlignment="1">
      <alignment horizontal="left" vertical="center"/>
    </xf>
    <xf numFmtId="0" fontId="43" fillId="0" borderId="55" xfId="13" applyFont="1" applyBorder="1" applyAlignment="1">
      <alignment horizontal="center" vertical="center"/>
    </xf>
    <xf numFmtId="0" fontId="43" fillId="0" borderId="56" xfId="13" applyFont="1" applyBorder="1" applyAlignment="1">
      <alignment horizontal="center" vertical="center"/>
    </xf>
    <xf numFmtId="0" fontId="38" fillId="0" borderId="17" xfId="13" applyFont="1" applyBorder="1" applyAlignment="1">
      <alignment horizontal="center" vertical="center"/>
    </xf>
    <xf numFmtId="0" fontId="38" fillId="0" borderId="53" xfId="13" applyFont="1" applyBorder="1" applyAlignment="1">
      <alignment horizontal="center" vertical="center"/>
    </xf>
    <xf numFmtId="0" fontId="38" fillId="0" borderId="37" xfId="13" applyFont="1" applyBorder="1" applyAlignment="1">
      <alignment horizontal="center" vertical="center"/>
    </xf>
    <xf numFmtId="0" fontId="38" fillId="0" borderId="56" xfId="13" applyFont="1" applyBorder="1" applyAlignment="1">
      <alignment horizontal="center" vertical="center"/>
    </xf>
    <xf numFmtId="0" fontId="39" fillId="0" borderId="28" xfId="13" applyFont="1" applyBorder="1" applyAlignment="1">
      <alignment horizontal="center" vertical="center"/>
    </xf>
    <xf numFmtId="0" fontId="39" fillId="0" borderId="40" xfId="13" applyFont="1" applyBorder="1" applyAlignment="1">
      <alignment horizontal="center" vertical="center"/>
    </xf>
    <xf numFmtId="0" fontId="39" fillId="0" borderId="30" xfId="13" applyFont="1" applyBorder="1" applyAlignment="1">
      <alignment horizontal="center" vertical="center"/>
    </xf>
    <xf numFmtId="0" fontId="41" fillId="0" borderId="58" xfId="13" applyFont="1" applyBorder="1" applyAlignment="1">
      <alignment horizontal="center" vertical="center" wrapText="1"/>
    </xf>
    <xf numFmtId="0" fontId="41" fillId="0" borderId="53" xfId="13" applyFont="1" applyBorder="1" applyAlignment="1">
      <alignment horizontal="center" vertical="center" wrapText="1"/>
    </xf>
    <xf numFmtId="0" fontId="41" fillId="0" borderId="55" xfId="13" applyFont="1" applyBorder="1" applyAlignment="1">
      <alignment horizontal="center" vertical="center" wrapText="1"/>
    </xf>
    <xf numFmtId="0" fontId="41" fillId="0" borderId="67" xfId="13" applyFont="1" applyBorder="1" applyAlignment="1">
      <alignment horizontal="center" vertical="center" wrapText="1"/>
    </xf>
    <xf numFmtId="0" fontId="41" fillId="0" borderId="56" xfId="13" applyFont="1" applyBorder="1" applyAlignment="1">
      <alignment horizontal="center" vertical="center" wrapText="1"/>
    </xf>
    <xf numFmtId="0" fontId="15" fillId="0" borderId="0" xfId="0" applyFont="1" applyAlignment="1"/>
    <xf numFmtId="0" fontId="45" fillId="0" borderId="0" xfId="0" applyFont="1" applyAlignment="1"/>
    <xf numFmtId="0" fontId="15" fillId="0" borderId="0" xfId="0" applyFont="1"/>
    <xf numFmtId="0" fontId="15" fillId="0" borderId="0" xfId="0" applyFont="1" applyAlignment="1">
      <alignment horizontal="center"/>
    </xf>
    <xf numFmtId="0" fontId="15" fillId="0" borderId="0" xfId="0" applyFont="1" applyFill="1" applyAlignment="1"/>
    <xf numFmtId="0" fontId="15" fillId="0" borderId="0" xfId="0" applyFont="1" applyFill="1" applyAlignment="1">
      <alignment horizontal="left"/>
    </xf>
    <xf numFmtId="0" fontId="43" fillId="0" borderId="83" xfId="13" applyFont="1" applyBorder="1" applyAlignment="1">
      <alignment horizontal="center" vertical="center"/>
    </xf>
    <xf numFmtId="0" fontId="43" fillId="0" borderId="84" xfId="13" applyFont="1" applyBorder="1" applyAlignment="1">
      <alignment horizontal="center" vertical="center"/>
    </xf>
    <xf numFmtId="0" fontId="43" fillId="0" borderId="85" xfId="13" applyFont="1" applyBorder="1" applyAlignment="1">
      <alignment horizontal="center" vertical="center"/>
    </xf>
    <xf numFmtId="0" fontId="45" fillId="0" borderId="0" xfId="0" applyFont="1" applyFill="1" applyAlignment="1">
      <alignment horizontal="center" vertical="center"/>
    </xf>
    <xf numFmtId="0" fontId="35" fillId="0" borderId="18" xfId="0" applyFont="1" applyBorder="1" applyAlignment="1">
      <alignment horizontal="center"/>
    </xf>
    <xf numFmtId="15" fontId="15" fillId="0" borderId="37" xfId="13" quotePrefix="1" applyNumberFormat="1" applyFont="1" applyBorder="1" applyAlignment="1">
      <alignment horizontal="center" vertical="center"/>
    </xf>
    <xf numFmtId="0" fontId="29" fillId="0" borderId="8" xfId="0" applyFont="1" applyBorder="1" applyAlignment="1">
      <alignment horizontal="center" vertical="center"/>
    </xf>
    <xf numFmtId="0" fontId="29" fillId="0" borderId="11" xfId="0" applyFont="1" applyBorder="1" applyAlignment="1">
      <alignment horizontal="center" vertical="center"/>
    </xf>
    <xf numFmtId="0" fontId="27" fillId="0" borderId="17" xfId="0" applyFont="1" applyBorder="1" applyAlignment="1">
      <alignment horizontal="center"/>
    </xf>
    <xf numFmtId="0" fontId="27" fillId="0" borderId="0" xfId="0" applyFont="1" applyBorder="1" applyAlignment="1">
      <alignment horizontal="center"/>
    </xf>
    <xf numFmtId="0" fontId="27" fillId="0" borderId="20" xfId="0" applyFont="1" applyBorder="1" applyAlignment="1">
      <alignment horizontal="center"/>
    </xf>
    <xf numFmtId="0" fontId="27" fillId="0" borderId="18" xfId="0" applyFont="1" applyBorder="1" applyAlignment="1">
      <alignment horizontal="center"/>
    </xf>
    <xf numFmtId="0" fontId="29" fillId="0" borderId="8" xfId="0" applyFont="1" applyBorder="1" applyAlignment="1">
      <alignment horizontal="center"/>
    </xf>
    <xf numFmtId="0" fontId="29" fillId="0" borderId="11" xfId="0" applyFont="1" applyBorder="1" applyAlignment="1">
      <alignment horizontal="center"/>
    </xf>
    <xf numFmtId="0" fontId="27" fillId="0" borderId="33" xfId="0" applyFont="1" applyBorder="1" applyAlignment="1">
      <alignment horizontal="center" wrapText="1"/>
    </xf>
    <xf numFmtId="0" fontId="27" fillId="0" borderId="34" xfId="0" applyFont="1" applyBorder="1" applyAlignment="1">
      <alignment horizontal="center" wrapText="1"/>
    </xf>
    <xf numFmtId="0" fontId="27" fillId="0" borderId="41" xfId="0" applyFont="1" applyBorder="1" applyAlignment="1">
      <alignment horizontal="center" wrapText="1"/>
    </xf>
    <xf numFmtId="0" fontId="27" fillId="0" borderId="42" xfId="0" applyFont="1" applyBorder="1" applyAlignment="1">
      <alignment horizontal="center" wrapText="1"/>
    </xf>
    <xf numFmtId="0" fontId="27" fillId="0" borderId="34" xfId="0" applyFont="1" applyBorder="1" applyAlignment="1">
      <alignment horizontal="center"/>
    </xf>
    <xf numFmtId="0" fontId="28" fillId="0" borderId="34" xfId="0" applyNumberFormat="1" applyFont="1" applyBorder="1" applyAlignment="1">
      <alignment horizontal="center" vertical="center"/>
    </xf>
    <xf numFmtId="0" fontId="28" fillId="0" borderId="39" xfId="0" applyNumberFormat="1" applyFont="1" applyBorder="1" applyAlignment="1">
      <alignment vertical="center"/>
    </xf>
    <xf numFmtId="0" fontId="28" fillId="0" borderId="40" xfId="0" applyNumberFormat="1" applyFont="1" applyBorder="1" applyAlignment="1">
      <alignment vertical="center"/>
    </xf>
    <xf numFmtId="20" fontId="29" fillId="0" borderId="39" xfId="0" applyNumberFormat="1" applyFont="1" applyBorder="1" applyAlignment="1">
      <alignment horizontal="center"/>
    </xf>
    <xf numFmtId="20" fontId="29" fillId="0" borderId="29" xfId="0" applyNumberFormat="1" applyFont="1" applyBorder="1" applyAlignment="1">
      <alignment horizontal="center"/>
    </xf>
    <xf numFmtId="0" fontId="29" fillId="0" borderId="43" xfId="0" applyFont="1" applyBorder="1" applyAlignment="1">
      <alignment horizontal="center"/>
    </xf>
    <xf numFmtId="0" fontId="29" fillId="0" borderId="44" xfId="0" applyFont="1" applyBorder="1" applyAlignment="1">
      <alignment horizontal="center"/>
    </xf>
    <xf numFmtId="20" fontId="29" fillId="0" borderId="43" xfId="0" applyNumberFormat="1" applyFont="1" applyBorder="1" applyAlignment="1">
      <alignment horizontal="center"/>
    </xf>
    <xf numFmtId="0" fontId="27" fillId="0" borderId="45" xfId="0" applyFont="1" applyBorder="1" applyAlignment="1">
      <alignment horizontal="center"/>
    </xf>
    <xf numFmtId="0" fontId="28" fillId="0" borderId="46" xfId="0" applyNumberFormat="1" applyFont="1" applyBorder="1" applyAlignment="1">
      <alignment vertical="center"/>
    </xf>
    <xf numFmtId="0" fontId="28" fillId="0" borderId="47" xfId="0" applyNumberFormat="1" applyFont="1" applyBorder="1" applyAlignment="1">
      <alignment vertical="center"/>
    </xf>
    <xf numFmtId="0" fontId="28" fillId="0" borderId="45" xfId="0" applyNumberFormat="1" applyFont="1" applyBorder="1" applyAlignment="1">
      <alignment horizontal="center" vertical="center"/>
    </xf>
    <xf numFmtId="0" fontId="27" fillId="0" borderId="35" xfId="0" applyFont="1" applyBorder="1" applyAlignment="1">
      <alignment horizontal="center" vertical="center"/>
    </xf>
    <xf numFmtId="0" fontId="27" fillId="0" borderId="36" xfId="0" applyFont="1" applyBorder="1" applyAlignment="1">
      <alignment horizontal="center" vertical="center"/>
    </xf>
    <xf numFmtId="0" fontId="29" fillId="0" borderId="5" xfId="0" applyFont="1" applyBorder="1" applyAlignment="1">
      <alignment horizontal="center"/>
    </xf>
    <xf numFmtId="0" fontId="29" fillId="0" borderId="6" xfId="0" applyFont="1" applyBorder="1" applyAlignment="1">
      <alignment horizontal="center"/>
    </xf>
    <xf numFmtId="0" fontId="29" fillId="0" borderId="48" xfId="0" applyFont="1" applyBorder="1" applyAlignment="1">
      <alignment horizontal="center"/>
    </xf>
    <xf numFmtId="0" fontId="29" fillId="0" borderId="49" xfId="0" applyFont="1" applyBorder="1" applyAlignment="1">
      <alignment horizontal="center"/>
    </xf>
    <xf numFmtId="0" fontId="26" fillId="0" borderId="32" xfId="0" applyFont="1" applyBorder="1" applyAlignment="1">
      <alignment horizontal="center" vertical="center"/>
    </xf>
    <xf numFmtId="0" fontId="26" fillId="0" borderId="15" xfId="0" applyFont="1" applyBorder="1" applyAlignment="1">
      <alignment horizontal="center" vertical="center"/>
    </xf>
    <xf numFmtId="0" fontId="17" fillId="0" borderId="32" xfId="0" applyFont="1" applyBorder="1" applyAlignment="1">
      <alignment horizontal="center" vertical="center"/>
    </xf>
    <xf numFmtId="0" fontId="17" fillId="0" borderId="16" xfId="0" applyFont="1" applyBorder="1" applyAlignment="1">
      <alignment horizontal="center" vertical="center"/>
    </xf>
    <xf numFmtId="20" fontId="28" fillId="0" borderId="35" xfId="0" applyNumberFormat="1" applyFont="1" applyBorder="1" applyAlignment="1">
      <alignment vertical="center"/>
    </xf>
    <xf numFmtId="0" fontId="28" fillId="0" borderId="36" xfId="0" applyNumberFormat="1" applyFont="1" applyBorder="1" applyAlignment="1">
      <alignment vertical="center"/>
    </xf>
    <xf numFmtId="20" fontId="29" fillId="0" borderId="37" xfId="0" applyNumberFormat="1" applyFont="1" applyBorder="1" applyAlignment="1">
      <alignment horizontal="center"/>
    </xf>
    <xf numFmtId="0" fontId="29" fillId="0" borderId="38" xfId="0" applyFont="1" applyBorder="1" applyAlignment="1">
      <alignment horizontal="center"/>
    </xf>
    <xf numFmtId="0" fontId="29" fillId="0" borderId="29" xfId="0" applyFont="1" applyBorder="1" applyAlignment="1">
      <alignment horizontal="center"/>
    </xf>
    <xf numFmtId="0" fontId="28" fillId="0" borderId="39" xfId="0" applyNumberFormat="1" applyFont="1" applyBorder="1" applyAlignment="1">
      <alignment horizontal="center" vertical="center"/>
    </xf>
    <xf numFmtId="0" fontId="28" fillId="0" borderId="29" xfId="0" applyNumberFormat="1" applyFont="1" applyBorder="1" applyAlignment="1">
      <alignment horizontal="center" vertical="center"/>
    </xf>
    <xf numFmtId="0" fontId="24" fillId="0" borderId="18" xfId="0" applyFont="1" applyBorder="1" applyAlignment="1">
      <alignment horizontal="center"/>
    </xf>
    <xf numFmtId="0" fontId="19" fillId="0" borderId="18" xfId="0" applyFont="1" applyBorder="1" applyAlignment="1">
      <alignment horizontal="center"/>
    </xf>
    <xf numFmtId="0" fontId="19" fillId="0" borderId="21" xfId="0" applyFont="1" applyBorder="1" applyAlignment="1">
      <alignment horizontal="center"/>
    </xf>
    <xf numFmtId="0" fontId="18" fillId="0" borderId="14" xfId="0" applyFont="1" applyBorder="1" applyAlignment="1">
      <alignment horizontal="left" vertical="center"/>
    </xf>
    <xf numFmtId="0" fontId="18" fillId="0" borderId="22" xfId="0" applyFont="1" applyBorder="1" applyAlignment="1">
      <alignment horizontal="left" vertical="center"/>
    </xf>
    <xf numFmtId="0" fontId="18" fillId="0" borderId="0" xfId="0" applyFont="1" applyBorder="1" applyAlignment="1">
      <alignment horizontal="left" vertical="center"/>
    </xf>
    <xf numFmtId="0" fontId="18" fillId="0" borderId="19" xfId="0" applyFont="1" applyBorder="1" applyAlignment="1">
      <alignment horizontal="left" vertical="center"/>
    </xf>
    <xf numFmtId="0" fontId="18" fillId="0" borderId="18" xfId="0" applyFont="1" applyBorder="1" applyAlignment="1">
      <alignment horizontal="left" vertical="center"/>
    </xf>
    <xf numFmtId="0" fontId="18" fillId="0" borderId="21" xfId="0" applyFont="1" applyBorder="1" applyAlignment="1">
      <alignment horizontal="left" vertical="center"/>
    </xf>
    <xf numFmtId="0" fontId="16" fillId="0" borderId="14" xfId="0" applyNumberFormat="1" applyFont="1" applyBorder="1" applyAlignment="1">
      <alignment horizontal="center" vertical="center" wrapText="1"/>
    </xf>
    <xf numFmtId="0" fontId="16" fillId="0" borderId="18" xfId="0" applyNumberFormat="1" applyFont="1" applyBorder="1" applyAlignment="1">
      <alignment horizontal="center" vertical="center" wrapText="1"/>
    </xf>
    <xf numFmtId="0" fontId="22" fillId="0" borderId="25" xfId="0" applyFont="1" applyBorder="1" applyAlignment="1">
      <alignment horizontal="left"/>
    </xf>
    <xf numFmtId="0" fontId="22" fillId="0" borderId="82" xfId="0" applyFont="1" applyBorder="1" applyAlignment="1">
      <alignment horizontal="left"/>
    </xf>
    <xf numFmtId="0" fontId="22" fillId="0" borderId="28" xfId="0" applyFont="1" applyBorder="1" applyAlignment="1"/>
    <xf numFmtId="0" fontId="22" fillId="0" borderId="30" xfId="0" applyFont="1" applyBorder="1" applyAlignment="1"/>
    <xf numFmtId="0" fontId="22" fillId="0" borderId="8" xfId="0" applyFont="1" applyBorder="1" applyAlignment="1"/>
    <xf numFmtId="0" fontId="20" fillId="0" borderId="8" xfId="0" applyFont="1" applyBorder="1" applyAlignment="1"/>
    <xf numFmtId="0" fontId="19" fillId="0" borderId="28" xfId="0" applyFont="1" applyBorder="1" applyAlignment="1"/>
    <xf numFmtId="0" fontId="19" fillId="0" borderId="29" xfId="0" applyFont="1" applyBorder="1" applyAlignment="1"/>
    <xf numFmtId="0" fontId="19" fillId="0" borderId="8" xfId="0" applyFont="1" applyBorder="1"/>
    <xf numFmtId="0" fontId="21" fillId="0" borderId="28" xfId="0" applyFont="1" applyBorder="1"/>
    <xf numFmtId="0" fontId="21" fillId="0" borderId="29" xfId="0" applyFont="1" applyBorder="1"/>
    <xf numFmtId="0" fontId="19" fillId="0" borderId="28" xfId="0" applyFont="1" applyBorder="1"/>
    <xf numFmtId="0" fontId="19" fillId="0" borderId="29" xfId="0" applyFont="1" applyBorder="1"/>
    <xf numFmtId="0" fontId="21" fillId="0" borderId="28" xfId="0" applyFont="1" applyBorder="1" applyAlignment="1"/>
    <xf numFmtId="0" fontId="21" fillId="0" borderId="29" xfId="0" applyFont="1" applyBorder="1" applyAlignment="1"/>
    <xf numFmtId="0" fontId="22" fillId="0" borderId="5" xfId="0" applyFont="1" applyBorder="1" applyAlignment="1"/>
    <xf numFmtId="0" fontId="20" fillId="0" borderId="24" xfId="0" applyFont="1" applyBorder="1" applyAlignment="1">
      <alignment horizontal="center" vertical="center"/>
    </xf>
    <xf numFmtId="0" fontId="20" fillId="0" borderId="25" xfId="0" applyFont="1" applyBorder="1" applyAlignment="1">
      <alignment horizontal="center" vertical="center" wrapText="1"/>
    </xf>
    <xf numFmtId="0" fontId="20" fillId="0" borderId="16" xfId="0" applyFont="1" applyBorder="1" applyAlignment="1">
      <alignment horizontal="center" vertical="center" wrapText="1"/>
    </xf>
    <xf numFmtId="0" fontId="21" fillId="0" borderId="26" xfId="0" applyFont="1" applyBorder="1" applyAlignment="1"/>
    <xf numFmtId="0" fontId="21" fillId="0" borderId="27" xfId="0" applyFont="1" applyBorder="1" applyAlignment="1"/>
    <xf numFmtId="0" fontId="19" fillId="0" borderId="26" xfId="0" applyFont="1" applyBorder="1" applyAlignment="1"/>
    <xf numFmtId="0" fontId="19" fillId="0" borderId="27" xfId="0" applyFont="1" applyBorder="1" applyAlignment="1"/>
    <xf numFmtId="20" fontId="15" fillId="0" borderId="15" xfId="0" applyNumberFormat="1" applyFont="1" applyBorder="1" applyAlignment="1">
      <alignment horizontal="center"/>
    </xf>
    <xf numFmtId="0" fontId="15" fillId="0" borderId="16" xfId="0" applyFont="1" applyBorder="1" applyAlignment="1">
      <alignment horizontal="center"/>
    </xf>
    <xf numFmtId="0" fontId="15" fillId="0" borderId="15" xfId="0" applyFont="1" applyBorder="1" applyAlignment="1">
      <alignment horizontal="center"/>
    </xf>
    <xf numFmtId="0" fontId="16" fillId="0" borderId="20" xfId="0" applyNumberFormat="1" applyFont="1" applyBorder="1" applyAlignment="1">
      <alignment horizontal="center"/>
    </xf>
    <xf numFmtId="0" fontId="16" fillId="0" borderId="18" xfId="0" applyNumberFormat="1" applyFont="1" applyBorder="1" applyAlignment="1">
      <alignment horizontal="center"/>
    </xf>
    <xf numFmtId="0" fontId="16" fillId="0" borderId="18" xfId="0" applyFont="1" applyBorder="1" applyAlignment="1">
      <alignment horizontal="center"/>
    </xf>
    <xf numFmtId="0" fontId="16" fillId="0" borderId="21" xfId="0" applyFont="1" applyBorder="1" applyAlignment="1">
      <alignment horizontal="center"/>
    </xf>
    <xf numFmtId="0" fontId="16" fillId="0" borderId="20" xfId="0" applyFont="1" applyBorder="1" applyAlignment="1">
      <alignment horizontal="center" vertical="center"/>
    </xf>
    <xf numFmtId="0" fontId="16" fillId="0" borderId="18" xfId="0" applyFont="1" applyBorder="1" applyAlignment="1">
      <alignment horizontal="center" vertical="center"/>
    </xf>
    <xf numFmtId="0" fontId="16" fillId="0" borderId="0" xfId="0" applyFont="1" applyBorder="1" applyAlignment="1">
      <alignment horizontal="center"/>
    </xf>
    <xf numFmtId="0" fontId="16" fillId="0" borderId="19" xfId="0" applyFont="1" applyBorder="1" applyAlignment="1">
      <alignment horizontal="center"/>
    </xf>
    <xf numFmtId="0" fontId="0" fillId="0" borderId="0" xfId="0"/>
    <xf numFmtId="0" fontId="0" fillId="0" borderId="0" xfId="0" applyAlignment="1">
      <alignment horizontal="center"/>
    </xf>
    <xf numFmtId="0" fontId="15" fillId="0" borderId="8" xfId="0" applyFont="1" applyBorder="1" applyAlignment="1">
      <alignment horizontal="center"/>
    </xf>
    <xf numFmtId="0" fontId="15" fillId="0" borderId="9"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4" fillId="0" borderId="8" xfId="0" applyFont="1" applyBorder="1" applyAlignment="1">
      <alignment horizontal="center" vertical="top"/>
    </xf>
    <xf numFmtId="0" fontId="14" fillId="0" borderId="9" xfId="0" applyFont="1" applyBorder="1" applyAlignment="1">
      <alignment horizontal="center" vertical="top"/>
    </xf>
  </cellXfs>
  <cellStyles count="19">
    <cellStyle name="Comma" xfId="1" builtinId="3"/>
    <cellStyle name="Comma 2" xfId="2" xr:uid="{00000000-0005-0000-0000-000031000000}"/>
    <cellStyle name="Comma 2 2" xfId="3" xr:uid="{00000000-0005-0000-0000-000032000000}"/>
    <cellStyle name="Comma 2 2 2" xfId="16" xr:uid="{154C8428-87A8-4CC5-B8B2-4ED60F467454}"/>
    <cellStyle name="Comma 2 3" xfId="9" xr:uid="{BC076DF7-769D-409F-86DB-31660321CC21}"/>
    <cellStyle name="Comma 2 4" xfId="15" xr:uid="{72EEC768-7743-4A5D-8F3C-1C3B898BD7A3}"/>
    <cellStyle name="Comma 3" xfId="4" xr:uid="{00000000-0005-0000-0000-000033000000}"/>
    <cellStyle name="Comma 3 2" xfId="7" xr:uid="{9365B994-03DC-4D0E-906A-1C1E521D6851}"/>
    <cellStyle name="Comma 3 3" xfId="10" xr:uid="{ED05B4D4-65EC-4480-9855-025C0C67E0BE}"/>
    <cellStyle name="Comma 3 4" xfId="17" xr:uid="{27AF1414-D2AA-415C-BA83-4CD2A8CD920F}"/>
    <cellStyle name="Comma 4" xfId="6" xr:uid="{50CDEC83-2675-4ABF-88C2-A2D164183DDD}"/>
    <cellStyle name="Comma 4 2" xfId="11" xr:uid="{036DF72C-7D98-4EAD-A5AE-75F5169272BB}"/>
    <cellStyle name="Comma 5" xfId="8" xr:uid="{38C2C65C-F04A-4DEC-BD4E-097AF7E2DEFD}"/>
    <cellStyle name="Comma 6" xfId="14" xr:uid="{ACBC6EC7-1823-45F3-927E-287F83B62E80}"/>
    <cellStyle name="Normal" xfId="0" builtinId="0"/>
    <cellStyle name="Normal 2" xfId="5" xr:uid="{00000000-0005-0000-0000-000034000000}"/>
    <cellStyle name="Normal 2 2" xfId="12" xr:uid="{35761CB7-8AC8-45AA-8F3A-CB710B039FC4}"/>
    <cellStyle name="Normal 2 3" xfId="18" xr:uid="{8243E717-7BF9-4884-B4E9-D4E58491903B}"/>
    <cellStyle name="Normal 3" xfId="13" xr:uid="{ED5356B8-9977-4A1F-B199-F9C6C4CD8D36}"/>
  </cellStyles>
  <dxfs count="0"/>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12</xdr:col>
      <xdr:colOff>113903</xdr:colOff>
      <xdr:row>10</xdr:row>
      <xdr:rowOff>28575</xdr:rowOff>
    </xdr:from>
    <xdr:to>
      <xdr:col>12</xdr:col>
      <xdr:colOff>285353</xdr:colOff>
      <xdr:row>10</xdr:row>
      <xdr:rowOff>161925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7876540" y="2105025"/>
          <a:ext cx="171450" cy="133350"/>
        </a:xfrm>
        <a:prstGeom prst="rect">
          <a:avLst/>
        </a:prstGeom>
        <a:noFill/>
        <a:ln w="15875"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7884160" y="2505075"/>
          <a:ext cx="156210" cy="133350"/>
        </a:xfrm>
        <a:prstGeom prst="rect">
          <a:avLst/>
        </a:prstGeom>
        <a:noFill/>
        <a:ln w="15875"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7866380" y="2905125"/>
          <a:ext cx="171450" cy="133350"/>
        </a:xfrm>
        <a:prstGeom prst="rect">
          <a:avLst/>
        </a:prstGeom>
        <a:noFill/>
        <a:ln w="15875"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7861935" y="1724660"/>
          <a:ext cx="171450" cy="133350"/>
        </a:xfrm>
        <a:prstGeom prst="rect">
          <a:avLst/>
        </a:prstGeom>
        <a:noFill/>
        <a:ln w="15875"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113903</xdr:colOff>
      <xdr:row>10</xdr:row>
      <xdr:rowOff>28575</xdr:rowOff>
    </xdr:from>
    <xdr:to>
      <xdr:col>12</xdr:col>
      <xdr:colOff>285353</xdr:colOff>
      <xdr:row>10</xdr:row>
      <xdr:rowOff>161925</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7876540" y="2105025"/>
          <a:ext cx="171450" cy="1333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7884160" y="2505075"/>
          <a:ext cx="156210" cy="1333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7866380" y="2905125"/>
          <a:ext cx="171450" cy="1333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2" name="Rectangle 11">
          <a:extLst>
            <a:ext uri="{FF2B5EF4-FFF2-40B4-BE49-F238E27FC236}">
              <a16:creationId xmlns:a16="http://schemas.microsoft.com/office/drawing/2014/main" id="{00000000-0008-0000-0000-00000C000000}"/>
            </a:ext>
          </a:extLst>
        </xdr:cNvPr>
        <xdr:cNvSpPr/>
      </xdr:nvSpPr>
      <xdr:spPr>
        <a:xfrm>
          <a:off x="7861935" y="1724660"/>
          <a:ext cx="171450" cy="133350"/>
        </a:xfrm>
        <a:prstGeom prst="rect">
          <a:avLst/>
        </a:prstGeom>
        <a:noFill/>
        <a:ln w="15875"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133351</xdr:colOff>
      <xdr:row>0</xdr:row>
      <xdr:rowOff>47625</xdr:rowOff>
    </xdr:from>
    <xdr:to>
      <xdr:col>5</xdr:col>
      <xdr:colOff>114302</xdr:colOff>
      <xdr:row>4</xdr:row>
      <xdr:rowOff>171452</xdr:rowOff>
    </xdr:to>
    <xdr:pic>
      <xdr:nvPicPr>
        <xdr:cNvPr id="14" name="Picture 13" descr="../../../../Downloads/IMG_3236.jpg">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502" t="11702" r="5825" b="12766"/>
        <a:stretch>
          <a:fillRect/>
        </a:stretch>
      </xdr:blipFill>
      <xdr:spPr>
        <a:xfrm>
          <a:off x="133350" y="47625"/>
          <a:ext cx="2981325" cy="952500"/>
        </a:xfrm>
        <a:prstGeom prst="rect">
          <a:avLst/>
        </a:prstGeom>
        <a:noFill/>
        <a:ln>
          <a:noFill/>
        </a:ln>
      </xdr:spPr>
    </xdr:pic>
    <xdr:clientData/>
  </xdr:twoCellAnchor>
  <xdr:twoCellAnchor>
    <xdr:from>
      <xdr:col>12</xdr:col>
      <xdr:colOff>113903</xdr:colOff>
      <xdr:row>10</xdr:row>
      <xdr:rowOff>28575</xdr:rowOff>
    </xdr:from>
    <xdr:to>
      <xdr:col>12</xdr:col>
      <xdr:colOff>285353</xdr:colOff>
      <xdr:row>10</xdr:row>
      <xdr:rowOff>161925</xdr:rowOff>
    </xdr:to>
    <xdr:sp macro="" textlink="">
      <xdr:nvSpPr>
        <xdr:cNvPr id="13" name="Rectangle 12">
          <a:extLst>
            <a:ext uri="{FF2B5EF4-FFF2-40B4-BE49-F238E27FC236}">
              <a16:creationId xmlns:a16="http://schemas.microsoft.com/office/drawing/2014/main" id="{00000000-0008-0000-0000-00000D000000}"/>
            </a:ext>
          </a:extLst>
        </xdr:cNvPr>
        <xdr:cNvSpPr/>
      </xdr:nvSpPr>
      <xdr:spPr>
        <a:xfrm>
          <a:off x="7876540" y="2105025"/>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7884160" y="2505075"/>
          <a:ext cx="15621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7866380" y="2905125"/>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7" name="Rectangle 16">
          <a:extLst>
            <a:ext uri="{FF2B5EF4-FFF2-40B4-BE49-F238E27FC236}">
              <a16:creationId xmlns:a16="http://schemas.microsoft.com/office/drawing/2014/main" id="{00000000-0008-0000-0000-000011000000}"/>
            </a:ext>
          </a:extLst>
        </xdr:cNvPr>
        <xdr:cNvSpPr/>
      </xdr:nvSpPr>
      <xdr:spPr>
        <a:xfrm>
          <a:off x="7861935" y="1724660"/>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113903</xdr:colOff>
      <xdr:row>10</xdr:row>
      <xdr:rowOff>28575</xdr:rowOff>
    </xdr:from>
    <xdr:to>
      <xdr:col>12</xdr:col>
      <xdr:colOff>285353</xdr:colOff>
      <xdr:row>10</xdr:row>
      <xdr:rowOff>161925</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7876540"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7884160" y="2505075"/>
          <a:ext cx="15621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7866380" y="29051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21" name="Rectangle 20">
          <a:extLst>
            <a:ext uri="{FF2B5EF4-FFF2-40B4-BE49-F238E27FC236}">
              <a16:creationId xmlns:a16="http://schemas.microsoft.com/office/drawing/2014/main" id="{00000000-0008-0000-0000-000015000000}"/>
            </a:ext>
          </a:extLst>
        </xdr:cNvPr>
        <xdr:cNvSpPr/>
      </xdr:nvSpPr>
      <xdr:spPr>
        <a:xfrm>
          <a:off x="7861935" y="172466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113903</xdr:colOff>
      <xdr:row>10</xdr:row>
      <xdr:rowOff>28575</xdr:rowOff>
    </xdr:from>
    <xdr:to>
      <xdr:col>12</xdr:col>
      <xdr:colOff>285353</xdr:colOff>
      <xdr:row>10</xdr:row>
      <xdr:rowOff>161925</xdr:rowOff>
    </xdr:to>
    <xdr:sp macro="" textlink="">
      <xdr:nvSpPr>
        <xdr:cNvPr id="22" name="Rectangle 21">
          <a:extLst>
            <a:ext uri="{FF2B5EF4-FFF2-40B4-BE49-F238E27FC236}">
              <a16:creationId xmlns:a16="http://schemas.microsoft.com/office/drawing/2014/main" id="{00000000-0008-0000-0000-000016000000}"/>
            </a:ext>
          </a:extLst>
        </xdr:cNvPr>
        <xdr:cNvSpPr/>
      </xdr:nvSpPr>
      <xdr:spPr>
        <a:xfrm>
          <a:off x="7876540"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23" name="Rectangle 22">
          <a:extLst>
            <a:ext uri="{FF2B5EF4-FFF2-40B4-BE49-F238E27FC236}">
              <a16:creationId xmlns:a16="http://schemas.microsoft.com/office/drawing/2014/main" id="{00000000-0008-0000-0000-000017000000}"/>
            </a:ext>
          </a:extLst>
        </xdr:cNvPr>
        <xdr:cNvSpPr/>
      </xdr:nvSpPr>
      <xdr:spPr>
        <a:xfrm>
          <a:off x="7884160" y="2505075"/>
          <a:ext cx="15621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24" name="Rectangle 23">
          <a:extLst>
            <a:ext uri="{FF2B5EF4-FFF2-40B4-BE49-F238E27FC236}">
              <a16:creationId xmlns:a16="http://schemas.microsoft.com/office/drawing/2014/main" id="{00000000-0008-0000-0000-000018000000}"/>
            </a:ext>
          </a:extLst>
        </xdr:cNvPr>
        <xdr:cNvSpPr/>
      </xdr:nvSpPr>
      <xdr:spPr>
        <a:xfrm>
          <a:off x="7866380" y="29051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25" name="Rectangle 24">
          <a:extLst>
            <a:ext uri="{FF2B5EF4-FFF2-40B4-BE49-F238E27FC236}">
              <a16:creationId xmlns:a16="http://schemas.microsoft.com/office/drawing/2014/main" id="{00000000-0008-0000-0000-000019000000}"/>
            </a:ext>
          </a:extLst>
        </xdr:cNvPr>
        <xdr:cNvSpPr/>
      </xdr:nvSpPr>
      <xdr:spPr>
        <a:xfrm>
          <a:off x="7861935" y="172466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113903</xdr:colOff>
      <xdr:row>10</xdr:row>
      <xdr:rowOff>28575</xdr:rowOff>
    </xdr:from>
    <xdr:to>
      <xdr:col>12</xdr:col>
      <xdr:colOff>285353</xdr:colOff>
      <xdr:row>10</xdr:row>
      <xdr:rowOff>161925</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7876540" y="2105025"/>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7884160" y="2505075"/>
          <a:ext cx="15621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7866380" y="2905125"/>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7861935" y="1724660"/>
          <a:ext cx="171450" cy="133350"/>
        </a:xfrm>
        <a:prstGeom prst="rect">
          <a:avLst/>
        </a:prstGeom>
        <a:noFill/>
        <a:ln w="19050" cmpd="thickThi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66675</xdr:colOff>
      <xdr:row>0</xdr:row>
      <xdr:rowOff>47625</xdr:rowOff>
    </xdr:from>
    <xdr:to>
      <xdr:col>5</xdr:col>
      <xdr:colOff>38101</xdr:colOff>
      <xdr:row>4</xdr:row>
      <xdr:rowOff>171452</xdr:rowOff>
    </xdr:to>
    <xdr:pic>
      <xdr:nvPicPr>
        <xdr:cNvPr id="7" name="Picture 6" descr="../../../../Downloads/IMG_3236.jp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502" t="11702" r="5825" b="12766"/>
        <a:stretch>
          <a:fillRect/>
        </a:stretch>
      </xdr:blipFill>
      <xdr:spPr>
        <a:xfrm>
          <a:off x="66675" y="47625"/>
          <a:ext cx="2952750" cy="952500"/>
        </a:xfrm>
        <a:prstGeom prst="rect">
          <a:avLst/>
        </a:prstGeom>
        <a:noFill/>
        <a:ln>
          <a:noFill/>
        </a:ln>
      </xdr:spPr>
    </xdr:pic>
    <xdr:clientData/>
  </xdr:twoCellAnchor>
  <xdr:twoCellAnchor>
    <xdr:from>
      <xdr:col>12</xdr:col>
      <xdr:colOff>113903</xdr:colOff>
      <xdr:row>10</xdr:row>
      <xdr:rowOff>28575</xdr:rowOff>
    </xdr:from>
    <xdr:to>
      <xdr:col>12</xdr:col>
      <xdr:colOff>285353</xdr:colOff>
      <xdr:row>10</xdr:row>
      <xdr:rowOff>161925</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7876540"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7884160" y="2505075"/>
          <a:ext cx="15621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7866380" y="29051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7861935" y="172466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113903</xdr:colOff>
      <xdr:row>10</xdr:row>
      <xdr:rowOff>28575</xdr:rowOff>
    </xdr:from>
    <xdr:to>
      <xdr:col>12</xdr:col>
      <xdr:colOff>285353</xdr:colOff>
      <xdr:row>10</xdr:row>
      <xdr:rowOff>161925</xdr:rowOff>
    </xdr:to>
    <xdr:sp macro="" textlink="">
      <xdr:nvSpPr>
        <xdr:cNvPr id="12" name="Rectangle 11">
          <a:extLst>
            <a:ext uri="{FF2B5EF4-FFF2-40B4-BE49-F238E27FC236}">
              <a16:creationId xmlns:a16="http://schemas.microsoft.com/office/drawing/2014/main" id="{16F1499C-E3F2-4E68-B287-6226A287964F}"/>
            </a:ext>
          </a:extLst>
        </xdr:cNvPr>
        <xdr:cNvSpPr/>
      </xdr:nvSpPr>
      <xdr:spPr>
        <a:xfrm>
          <a:off x="8457803"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13" name="Rectangle 12">
          <a:extLst>
            <a:ext uri="{FF2B5EF4-FFF2-40B4-BE49-F238E27FC236}">
              <a16:creationId xmlns:a16="http://schemas.microsoft.com/office/drawing/2014/main" id="{BD7A780A-DA8B-4CA2-99A3-FC04371A23E3}"/>
            </a:ext>
          </a:extLst>
        </xdr:cNvPr>
        <xdr:cNvSpPr/>
      </xdr:nvSpPr>
      <xdr:spPr>
        <a:xfrm>
          <a:off x="8465597" y="2486025"/>
          <a:ext cx="155865"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4" name="Rectangle 13">
          <a:extLst>
            <a:ext uri="{FF2B5EF4-FFF2-40B4-BE49-F238E27FC236}">
              <a16:creationId xmlns:a16="http://schemas.microsoft.com/office/drawing/2014/main" id="{0C949CA0-2BDA-4EE6-A943-F0FEA7550C9E}"/>
            </a:ext>
          </a:extLst>
        </xdr:cNvPr>
        <xdr:cNvSpPr/>
      </xdr:nvSpPr>
      <xdr:spPr>
        <a:xfrm>
          <a:off x="8447891" y="288607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5" name="Rectangle 14">
          <a:extLst>
            <a:ext uri="{FF2B5EF4-FFF2-40B4-BE49-F238E27FC236}">
              <a16:creationId xmlns:a16="http://schemas.microsoft.com/office/drawing/2014/main" id="{764AC438-D95D-4AE1-94CF-E81E981029F3}"/>
            </a:ext>
          </a:extLst>
        </xdr:cNvPr>
        <xdr:cNvSpPr/>
      </xdr:nvSpPr>
      <xdr:spPr>
        <a:xfrm>
          <a:off x="8443506" y="1715691"/>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113903</xdr:colOff>
      <xdr:row>10</xdr:row>
      <xdr:rowOff>28575</xdr:rowOff>
    </xdr:from>
    <xdr:to>
      <xdr:col>12</xdr:col>
      <xdr:colOff>285353</xdr:colOff>
      <xdr:row>10</xdr:row>
      <xdr:rowOff>161925</xdr:rowOff>
    </xdr:to>
    <xdr:sp macro="" textlink="">
      <xdr:nvSpPr>
        <xdr:cNvPr id="16" name="Rectangle 15">
          <a:extLst>
            <a:ext uri="{FF2B5EF4-FFF2-40B4-BE49-F238E27FC236}">
              <a16:creationId xmlns:a16="http://schemas.microsoft.com/office/drawing/2014/main" id="{6482611F-2CD3-4014-A55F-57245B925E08}"/>
            </a:ext>
          </a:extLst>
        </xdr:cNvPr>
        <xdr:cNvSpPr/>
      </xdr:nvSpPr>
      <xdr:spPr>
        <a:xfrm>
          <a:off x="8457803"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17" name="Rectangle 16">
          <a:extLst>
            <a:ext uri="{FF2B5EF4-FFF2-40B4-BE49-F238E27FC236}">
              <a16:creationId xmlns:a16="http://schemas.microsoft.com/office/drawing/2014/main" id="{9FE9CE6B-EDD8-4B12-BF90-035AE80E685D}"/>
            </a:ext>
          </a:extLst>
        </xdr:cNvPr>
        <xdr:cNvSpPr/>
      </xdr:nvSpPr>
      <xdr:spPr>
        <a:xfrm>
          <a:off x="8465597" y="2486025"/>
          <a:ext cx="155865"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8" name="Rectangle 17">
          <a:extLst>
            <a:ext uri="{FF2B5EF4-FFF2-40B4-BE49-F238E27FC236}">
              <a16:creationId xmlns:a16="http://schemas.microsoft.com/office/drawing/2014/main" id="{5F99850B-1401-4EA9-8CB6-D5A350707C45}"/>
            </a:ext>
          </a:extLst>
        </xdr:cNvPr>
        <xdr:cNvSpPr/>
      </xdr:nvSpPr>
      <xdr:spPr>
        <a:xfrm>
          <a:off x="8447891" y="288607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9" name="Rectangle 18">
          <a:extLst>
            <a:ext uri="{FF2B5EF4-FFF2-40B4-BE49-F238E27FC236}">
              <a16:creationId xmlns:a16="http://schemas.microsoft.com/office/drawing/2014/main" id="{836B201D-4750-48A4-A73F-E1A62ABC238B}"/>
            </a:ext>
          </a:extLst>
        </xdr:cNvPr>
        <xdr:cNvSpPr/>
      </xdr:nvSpPr>
      <xdr:spPr>
        <a:xfrm>
          <a:off x="8443506" y="1715691"/>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113903</xdr:colOff>
      <xdr:row>10</xdr:row>
      <xdr:rowOff>28575</xdr:rowOff>
    </xdr:from>
    <xdr:to>
      <xdr:col>12</xdr:col>
      <xdr:colOff>285353</xdr:colOff>
      <xdr:row>10</xdr:row>
      <xdr:rowOff>161925</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7876540"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9" name="Rectangle 8">
          <a:extLst>
            <a:ext uri="{FF2B5EF4-FFF2-40B4-BE49-F238E27FC236}">
              <a16:creationId xmlns:a16="http://schemas.microsoft.com/office/drawing/2014/main" id="{00000000-0008-0000-0200-000009000000}"/>
            </a:ext>
          </a:extLst>
        </xdr:cNvPr>
        <xdr:cNvSpPr/>
      </xdr:nvSpPr>
      <xdr:spPr>
        <a:xfrm>
          <a:off x="7884160" y="2495550"/>
          <a:ext cx="15621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7866380" y="289560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1" name="Rectangle 10">
          <a:extLst>
            <a:ext uri="{FF2B5EF4-FFF2-40B4-BE49-F238E27FC236}">
              <a16:creationId xmlns:a16="http://schemas.microsoft.com/office/drawing/2014/main" id="{00000000-0008-0000-0200-00000B000000}"/>
            </a:ext>
          </a:extLst>
        </xdr:cNvPr>
        <xdr:cNvSpPr/>
      </xdr:nvSpPr>
      <xdr:spPr>
        <a:xfrm>
          <a:off x="7861935" y="172466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104773</xdr:colOff>
      <xdr:row>0</xdr:row>
      <xdr:rowOff>47623</xdr:rowOff>
    </xdr:from>
    <xdr:to>
      <xdr:col>5</xdr:col>
      <xdr:colOff>57149</xdr:colOff>
      <xdr:row>4</xdr:row>
      <xdr:rowOff>171450</xdr:rowOff>
    </xdr:to>
    <xdr:pic>
      <xdr:nvPicPr>
        <xdr:cNvPr id="28" name="Picture 27" descr="../../../../Downloads/IMG_3236.jpg">
          <a:extLst>
            <a:ext uri="{FF2B5EF4-FFF2-40B4-BE49-F238E27FC236}">
              <a16:creationId xmlns:a16="http://schemas.microsoft.com/office/drawing/2014/main" id="{00000000-0008-0000-0200-00001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502" t="11702" r="5825" b="12766"/>
        <a:stretch>
          <a:fillRect/>
        </a:stretch>
      </xdr:blipFill>
      <xdr:spPr>
        <a:xfrm>
          <a:off x="104140" y="46990"/>
          <a:ext cx="2952750" cy="953135"/>
        </a:xfrm>
        <a:prstGeom prst="rect">
          <a:avLst/>
        </a:prstGeom>
        <a:noFill/>
        <a:ln>
          <a:noFill/>
        </a:ln>
      </xdr:spPr>
    </xdr:pic>
    <xdr:clientData/>
  </xdr:twoCellAnchor>
  <xdr:twoCellAnchor>
    <xdr:from>
      <xdr:col>12</xdr:col>
      <xdr:colOff>113903</xdr:colOff>
      <xdr:row>10</xdr:row>
      <xdr:rowOff>28575</xdr:rowOff>
    </xdr:from>
    <xdr:to>
      <xdr:col>12</xdr:col>
      <xdr:colOff>285353</xdr:colOff>
      <xdr:row>10</xdr:row>
      <xdr:rowOff>161925</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7876540" y="2105025"/>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121697</xdr:colOff>
      <xdr:row>12</xdr:row>
      <xdr:rowOff>28575</xdr:rowOff>
    </xdr:from>
    <xdr:to>
      <xdr:col>12</xdr:col>
      <xdr:colOff>277562</xdr:colOff>
      <xdr:row>12</xdr:row>
      <xdr:rowOff>161925</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7884160" y="2495550"/>
          <a:ext cx="15621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103991</xdr:colOff>
      <xdr:row>14</xdr:row>
      <xdr:rowOff>38100</xdr:rowOff>
    </xdr:from>
    <xdr:to>
      <xdr:col>12</xdr:col>
      <xdr:colOff>275441</xdr:colOff>
      <xdr:row>14</xdr:row>
      <xdr:rowOff>171450</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7866380" y="289560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99606</xdr:colOff>
      <xdr:row>8</xdr:row>
      <xdr:rowOff>29766</xdr:rowOff>
    </xdr:from>
    <xdr:to>
      <xdr:col>12</xdr:col>
      <xdr:colOff>271056</xdr:colOff>
      <xdr:row>8</xdr:row>
      <xdr:rowOff>163116</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7861935" y="1724660"/>
          <a:ext cx="171450" cy="133350"/>
        </a:xfrm>
        <a:prstGeom prst="rect">
          <a:avLst/>
        </a:prstGeom>
        <a:noFill/>
        <a:ln w="19050" cmpd="thickThi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6</xdr:row>
      <xdr:rowOff>66675</xdr:rowOff>
    </xdr:from>
    <xdr:to>
      <xdr:col>1</xdr:col>
      <xdr:colOff>760737</xdr:colOff>
      <xdr:row>8</xdr:row>
      <xdr:rowOff>161925</xdr:rowOff>
    </xdr:to>
    <xdr:pic>
      <xdr:nvPicPr>
        <xdr:cNvPr id="2" name="Picture 21" descr="../../../../Downloads/IMG_3236.jp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1228725"/>
          <a:ext cx="1284605"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57150</xdr:colOff>
      <xdr:row>6</xdr:row>
      <xdr:rowOff>66675</xdr:rowOff>
    </xdr:from>
    <xdr:ext cx="1332237" cy="476250"/>
    <xdr:pic>
      <xdr:nvPicPr>
        <xdr:cNvPr id="3" name="Picture 21" descr="../../../../Downloads/IMG_3236.jpg">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76750" y="1228725"/>
          <a:ext cx="133223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57150</xdr:colOff>
      <xdr:row>6</xdr:row>
      <xdr:rowOff>66675</xdr:rowOff>
    </xdr:from>
    <xdr:ext cx="1332237" cy="476250"/>
    <xdr:pic>
      <xdr:nvPicPr>
        <xdr:cNvPr id="4" name="Picture 21" descr="../../../../Downloads/IMG_3236.jpg">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76750" y="1228725"/>
          <a:ext cx="133223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view="pageLayout" zoomScaleNormal="100" workbookViewId="0">
      <selection activeCell="E25" sqref="E25:G25"/>
    </sheetView>
  </sheetViews>
  <sheetFormatPr defaultColWidth="9.140625" defaultRowHeight="15"/>
  <cols>
    <col min="1" max="1" width="9.5703125" customWidth="1"/>
    <col min="3" max="3" width="6.140625" customWidth="1"/>
    <col min="4" max="4" width="11" customWidth="1"/>
    <col min="6" max="6" width="6" customWidth="1"/>
    <col min="7" max="7" width="18.140625" customWidth="1"/>
    <col min="8" max="8" width="13.140625" customWidth="1"/>
    <col min="9" max="9" width="5.5703125" customWidth="1"/>
    <col min="10" max="10" width="4.85546875" customWidth="1"/>
    <col min="11" max="11" width="12.140625" customWidth="1"/>
    <col min="12" max="12" width="11.5703125" customWidth="1"/>
    <col min="13" max="13" width="16.85546875" customWidth="1"/>
  </cols>
  <sheetData>
    <row r="1" spans="1:13">
      <c r="A1" s="166"/>
      <c r="B1" s="166"/>
      <c r="C1" s="166"/>
      <c r="D1" s="166"/>
      <c r="E1" s="166"/>
      <c r="F1" s="166"/>
      <c r="G1" s="166"/>
      <c r="H1" s="166"/>
      <c r="I1" s="311" t="s">
        <v>0</v>
      </c>
      <c r="J1" s="312"/>
      <c r="K1" s="312"/>
      <c r="L1" s="312"/>
      <c r="M1" s="312"/>
    </row>
    <row r="2" spans="1:13" ht="19.5">
      <c r="A2" s="167"/>
      <c r="B2" s="167"/>
      <c r="C2" s="167"/>
      <c r="D2" s="167"/>
      <c r="E2" s="167"/>
      <c r="F2" s="167"/>
      <c r="G2" s="168"/>
      <c r="H2" s="169"/>
      <c r="I2" s="312" t="s">
        <v>1</v>
      </c>
      <c r="J2" s="312"/>
      <c r="K2" s="312"/>
      <c r="L2" s="312"/>
      <c r="M2" s="312"/>
    </row>
    <row r="3" spans="1:13" ht="15.75">
      <c r="A3" s="170"/>
      <c r="B3" s="171"/>
      <c r="C3" s="171"/>
      <c r="D3" s="171"/>
      <c r="E3" s="171"/>
      <c r="F3" s="171"/>
      <c r="G3" s="171"/>
      <c r="H3" s="171"/>
      <c r="I3" s="312" t="s">
        <v>2</v>
      </c>
      <c r="J3" s="312"/>
      <c r="K3" s="312"/>
      <c r="L3" s="312"/>
      <c r="M3" s="312"/>
    </row>
    <row r="4" spans="1:13">
      <c r="A4" s="172"/>
      <c r="B4" s="171"/>
      <c r="C4" s="171"/>
      <c r="D4" s="171"/>
      <c r="E4" s="171"/>
      <c r="F4" s="171"/>
      <c r="G4" s="171"/>
      <c r="H4" s="171"/>
      <c r="I4" s="182"/>
      <c r="J4" s="182"/>
      <c r="K4" s="182"/>
      <c r="L4" s="182"/>
      <c r="M4" s="182"/>
    </row>
    <row r="5" spans="1:13">
      <c r="A5" s="173"/>
      <c r="B5" s="171"/>
      <c r="C5" s="171"/>
      <c r="D5" s="171"/>
      <c r="E5" s="171"/>
      <c r="F5" s="171"/>
      <c r="G5" s="171"/>
      <c r="H5" s="171"/>
      <c r="I5" s="171"/>
      <c r="J5" s="171"/>
      <c r="K5" s="171"/>
      <c r="L5" s="171"/>
      <c r="M5" s="171"/>
    </row>
    <row r="6" spans="1:13" ht="21.75">
      <c r="A6" s="313" t="s">
        <v>3</v>
      </c>
      <c r="B6" s="313"/>
      <c r="C6" s="313"/>
      <c r="D6" s="313"/>
      <c r="E6" s="313"/>
      <c r="F6" s="313"/>
      <c r="G6" s="313"/>
      <c r="H6" s="313"/>
      <c r="I6" s="313"/>
      <c r="J6" s="313"/>
      <c r="K6" s="313"/>
      <c r="L6" s="313"/>
      <c r="M6" s="313"/>
    </row>
    <row r="7" spans="1:13" ht="15.75">
      <c r="A7" s="314" t="s">
        <v>4</v>
      </c>
      <c r="B7" s="315"/>
      <c r="C7" s="315"/>
      <c r="D7" s="315"/>
      <c r="E7" s="315"/>
      <c r="F7" s="315"/>
      <c r="G7" s="315"/>
      <c r="H7" s="315"/>
      <c r="I7" s="315"/>
      <c r="J7" s="315"/>
      <c r="K7" s="316" t="str">
        <f>'JOB ESTIMATE'!K7:L7</f>
        <v>JO NO.</v>
      </c>
      <c r="L7" s="316"/>
      <c r="M7" s="140">
        <f>'JOB ESTIMATE'!M7</f>
        <v>0</v>
      </c>
    </row>
    <row r="8" spans="1:13">
      <c r="A8" s="270" t="s">
        <v>5</v>
      </c>
      <c r="B8" s="271"/>
      <c r="C8" s="308" t="s">
        <v>6</v>
      </c>
      <c r="D8" s="309"/>
      <c r="E8" s="309"/>
      <c r="F8" s="310"/>
      <c r="G8" s="174" t="s">
        <v>7</v>
      </c>
      <c r="H8" s="278" t="s">
        <v>8</v>
      </c>
      <c r="I8" s="279"/>
      <c r="J8" s="280"/>
      <c r="K8" s="278" t="s">
        <v>9</v>
      </c>
      <c r="L8" s="280"/>
      <c r="M8" s="209" t="s">
        <v>10</v>
      </c>
    </row>
    <row r="9" spans="1:13" ht="15" customHeight="1">
      <c r="A9" s="248">
        <f>'JOB ESTIMATE'!A8:B9</f>
        <v>0</v>
      </c>
      <c r="B9" s="249"/>
      <c r="C9" s="252">
        <f>'JOB ESTIMATE'!C8:F10</f>
        <v>0</v>
      </c>
      <c r="D9" s="253"/>
      <c r="E9" s="253"/>
      <c r="F9" s="254"/>
      <c r="G9" s="111"/>
      <c r="H9" s="245" t="str">
        <f>'JOB ESTIMATE'!H9:J9</f>
        <v>white</v>
      </c>
      <c r="I9" s="246"/>
      <c r="J9" s="247"/>
      <c r="K9" s="245"/>
      <c r="L9" s="247"/>
      <c r="M9" s="183" t="s">
        <v>11</v>
      </c>
    </row>
    <row r="10" spans="1:13" ht="15" customHeight="1">
      <c r="A10" s="250"/>
      <c r="B10" s="251"/>
      <c r="C10" s="255"/>
      <c r="D10" s="256"/>
      <c r="E10" s="256"/>
      <c r="F10" s="257"/>
      <c r="G10" s="112" t="s">
        <v>12</v>
      </c>
      <c r="H10" s="278" t="s">
        <v>13</v>
      </c>
      <c r="I10" s="279"/>
      <c r="J10" s="280"/>
      <c r="K10" s="278" t="s">
        <v>14</v>
      </c>
      <c r="L10" s="280"/>
      <c r="M10" s="183"/>
    </row>
    <row r="11" spans="1:13" ht="15.75" customHeight="1">
      <c r="A11" s="270" t="str">
        <f>'JOB ESTIMATE'!A11:B11</f>
        <v>Customer No.:</v>
      </c>
      <c r="B11" s="271"/>
      <c r="C11" s="258"/>
      <c r="D11" s="259"/>
      <c r="E11" s="259"/>
      <c r="F11" s="260"/>
      <c r="G11" s="113"/>
      <c r="H11" s="261">
        <f>'JOB ESTIMATE'!H10:J12</f>
        <v>0</v>
      </c>
      <c r="I11" s="262"/>
      <c r="J11" s="263"/>
      <c r="K11" s="305"/>
      <c r="L11" s="306"/>
      <c r="M11" s="183" t="s">
        <v>15</v>
      </c>
    </row>
    <row r="12" spans="1:13" ht="15.75">
      <c r="A12" s="307" t="str">
        <f>'JOB ESTIMATE'!A12:B12</f>
        <v xml:space="preserve"> </v>
      </c>
      <c r="B12" s="275"/>
      <c r="C12" s="267">
        <f>'JOB ESTIMATE'!C11:F13</f>
        <v>0</v>
      </c>
      <c r="D12" s="268"/>
      <c r="E12" s="268"/>
      <c r="F12" s="269"/>
      <c r="G12" s="114" t="s">
        <v>16</v>
      </c>
      <c r="H12" s="261"/>
      <c r="I12" s="262"/>
      <c r="J12" s="263"/>
      <c r="K12" s="278" t="s">
        <v>17</v>
      </c>
      <c r="L12" s="280"/>
      <c r="M12" s="184"/>
    </row>
    <row r="13" spans="1:13" ht="15" customHeight="1">
      <c r="A13" s="270" t="s">
        <v>18</v>
      </c>
      <c r="B13" s="271"/>
      <c r="C13" s="261"/>
      <c r="D13" s="262"/>
      <c r="E13" s="262"/>
      <c r="F13" s="263"/>
      <c r="G13" s="115">
        <f>'JOB ESTIMATE'!G13</f>
        <v>0</v>
      </c>
      <c r="H13" s="264"/>
      <c r="I13" s="265"/>
      <c r="J13" s="266"/>
      <c r="K13" s="245"/>
      <c r="L13" s="247"/>
      <c r="M13" s="183" t="s">
        <v>19</v>
      </c>
    </row>
    <row r="14" spans="1:13" ht="15.75">
      <c r="A14" s="276">
        <f>'JOB ESTIMATE'!A14:B14</f>
        <v>0</v>
      </c>
      <c r="B14" s="277"/>
      <c r="C14" s="264"/>
      <c r="D14" s="265"/>
      <c r="E14" s="265"/>
      <c r="F14" s="266"/>
      <c r="G14" s="116">
        <f>'JOB ESTIMATE'!G14</f>
        <v>0</v>
      </c>
      <c r="H14" s="278" t="s">
        <v>20</v>
      </c>
      <c r="I14" s="279"/>
      <c r="J14" s="280"/>
      <c r="K14" s="278" t="s">
        <v>21</v>
      </c>
      <c r="L14" s="280"/>
      <c r="M14" s="185"/>
    </row>
    <row r="15" spans="1:13">
      <c r="A15" s="270" t="s">
        <v>22</v>
      </c>
      <c r="B15" s="271"/>
      <c r="C15" s="117" t="s">
        <v>23</v>
      </c>
      <c r="D15" s="110"/>
      <c r="E15" s="117" t="s">
        <v>24</v>
      </c>
      <c r="F15" s="118"/>
      <c r="G15" s="114" t="s">
        <v>25</v>
      </c>
      <c r="H15" s="242">
        <f>'JOB ESTIMATE'!H14:J15</f>
        <v>0</v>
      </c>
      <c r="I15" s="243"/>
      <c r="J15" s="244"/>
      <c r="K15" s="242"/>
      <c r="L15" s="244"/>
      <c r="M15" s="183" t="s">
        <v>26</v>
      </c>
    </row>
    <row r="16" spans="1:13" ht="15.75" customHeight="1">
      <c r="A16" s="272">
        <f>'JOB ESTIMATE'!A16:B16</f>
        <v>0</v>
      </c>
      <c r="B16" s="273"/>
      <c r="C16" s="274"/>
      <c r="D16" s="275"/>
      <c r="E16" s="119"/>
      <c r="F16" s="120"/>
      <c r="G16" s="121"/>
      <c r="H16" s="245"/>
      <c r="I16" s="246"/>
      <c r="J16" s="247"/>
      <c r="K16" s="245"/>
      <c r="L16" s="247"/>
      <c r="M16" s="186"/>
    </row>
    <row r="17" spans="1:13" ht="15" customHeight="1">
      <c r="A17" s="122" t="s">
        <v>27</v>
      </c>
      <c r="B17" s="205"/>
      <c r="C17" s="278" t="s">
        <v>28</v>
      </c>
      <c r="D17" s="279"/>
      <c r="E17" s="280"/>
      <c r="F17" s="303" t="str">
        <f>'JOB ESTIMATE'!F17:G17</f>
        <v>Date Finished:</v>
      </c>
      <c r="G17" s="304"/>
      <c r="H17" s="278" t="s">
        <v>29</v>
      </c>
      <c r="I17" s="279"/>
      <c r="J17" s="280"/>
      <c r="K17" s="278" t="s">
        <v>30</v>
      </c>
      <c r="L17" s="280"/>
      <c r="M17" s="186"/>
    </row>
    <row r="18" spans="1:13" ht="15.75" customHeight="1">
      <c r="A18" s="292"/>
      <c r="B18" s="293"/>
      <c r="C18" s="294">
        <f>'JOB ESTIMATE'!C18:E18</f>
        <v>0</v>
      </c>
      <c r="D18" s="295"/>
      <c r="E18" s="293"/>
      <c r="F18" s="296">
        <f>'JOB ESTIMATE'!F18:G18</f>
        <v>0</v>
      </c>
      <c r="G18" s="297"/>
      <c r="H18" s="298">
        <f>'JOB ESTIMATE'!H18:J18</f>
        <v>0</v>
      </c>
      <c r="I18" s="299"/>
      <c r="J18" s="300"/>
      <c r="K18" s="301">
        <f>'JOB ESTIMATE'!K18:L18</f>
        <v>0</v>
      </c>
      <c r="L18" s="302"/>
      <c r="M18" s="187"/>
    </row>
    <row r="19" spans="1:13" ht="15" customHeight="1">
      <c r="A19" s="57"/>
      <c r="B19" s="57"/>
      <c r="C19" s="57"/>
      <c r="D19" s="57"/>
      <c r="E19" s="57"/>
      <c r="F19" s="57"/>
      <c r="G19" s="57"/>
      <c r="H19" s="57"/>
      <c r="I19" s="57"/>
      <c r="J19" s="57"/>
      <c r="K19" s="57"/>
      <c r="L19" s="143"/>
      <c r="M19" s="143"/>
    </row>
    <row r="20" spans="1:13" ht="15.75">
      <c r="A20" s="123" t="s">
        <v>31</v>
      </c>
      <c r="B20" s="123"/>
      <c r="C20" s="281" t="s">
        <v>32</v>
      </c>
      <c r="D20" s="281"/>
      <c r="E20" s="124"/>
      <c r="F20" s="282" t="s">
        <v>33</v>
      </c>
      <c r="G20" s="282"/>
      <c r="H20" s="282"/>
      <c r="I20" s="124"/>
      <c r="J20" s="57"/>
      <c r="K20" s="123"/>
      <c r="L20" s="57"/>
      <c r="M20" s="123"/>
    </row>
    <row r="21" spans="1:13">
      <c r="A21" s="64"/>
      <c r="B21" s="64"/>
      <c r="C21" s="127"/>
      <c r="D21" s="127"/>
      <c r="E21" s="291">
        <f>'JOB ESTIMATE'!E20</f>
        <v>0</v>
      </c>
      <c r="F21" s="291"/>
      <c r="G21" s="291"/>
      <c r="H21" s="127"/>
      <c r="I21" s="57"/>
      <c r="J21" s="133"/>
      <c r="K21" s="133"/>
      <c r="L21" s="57"/>
      <c r="M21" s="147"/>
    </row>
    <row r="22" spans="1:13">
      <c r="A22" s="64"/>
      <c r="B22" s="64"/>
      <c r="C22" s="127"/>
      <c r="D22" s="127"/>
      <c r="E22" s="291">
        <f>'JOB ESTIMATE'!E21</f>
        <v>0</v>
      </c>
      <c r="F22" s="291"/>
      <c r="G22" s="291"/>
      <c r="H22" s="127"/>
      <c r="I22" s="57"/>
      <c r="J22" s="133"/>
      <c r="K22" s="133"/>
      <c r="L22" s="57"/>
      <c r="M22" s="147"/>
    </row>
    <row r="23" spans="1:13">
      <c r="A23" s="64"/>
      <c r="B23" s="64"/>
      <c r="C23" s="127"/>
      <c r="D23" s="127"/>
      <c r="E23" s="291">
        <f>'JOB ESTIMATE'!E22</f>
        <v>0</v>
      </c>
      <c r="F23" s="291"/>
      <c r="G23" s="291"/>
      <c r="H23" s="127"/>
      <c r="I23" s="57"/>
      <c r="J23" s="133"/>
      <c r="K23" s="133"/>
      <c r="L23" s="57"/>
      <c r="M23" s="147"/>
    </row>
    <row r="24" spans="1:13">
      <c r="A24" s="64"/>
      <c r="B24" s="64"/>
      <c r="C24" s="127"/>
      <c r="D24" s="127"/>
      <c r="E24" s="291">
        <f>'JOB ESTIMATE'!E23</f>
        <v>0</v>
      </c>
      <c r="F24" s="291"/>
      <c r="G24" s="291"/>
      <c r="H24" s="127"/>
      <c r="I24" s="57"/>
      <c r="J24" s="133"/>
      <c r="K24" s="133"/>
      <c r="L24" s="57"/>
      <c r="M24" s="147"/>
    </row>
    <row r="25" spans="1:13">
      <c r="A25" s="64"/>
      <c r="B25" s="64"/>
      <c r="C25" s="127"/>
      <c r="D25" s="127"/>
      <c r="E25" s="291">
        <f>'JOB ESTIMATE'!E24</f>
        <v>0</v>
      </c>
      <c r="F25" s="291"/>
      <c r="G25" s="291"/>
      <c r="H25" s="127"/>
      <c r="I25" s="57"/>
      <c r="J25" s="133"/>
      <c r="K25" s="133"/>
      <c r="L25" s="57"/>
      <c r="M25" s="147"/>
    </row>
    <row r="26" spans="1:13">
      <c r="A26" s="64"/>
      <c r="B26" s="64"/>
      <c r="C26" s="127"/>
      <c r="D26" s="127"/>
      <c r="E26" s="291">
        <f>'JOB ESTIMATE'!E25</f>
        <v>0</v>
      </c>
      <c r="F26" s="291"/>
      <c r="G26" s="291"/>
      <c r="H26" s="127"/>
      <c r="I26" s="57"/>
      <c r="J26" s="133"/>
      <c r="K26" s="133"/>
      <c r="L26" s="57"/>
      <c r="M26" s="147"/>
    </row>
    <row r="27" spans="1:13">
      <c r="A27" s="64"/>
      <c r="B27" s="64"/>
      <c r="C27" s="127"/>
      <c r="D27" s="127"/>
      <c r="E27" s="291">
        <f>'JOB ESTIMATE'!E26</f>
        <v>0</v>
      </c>
      <c r="F27" s="291"/>
      <c r="G27" s="291"/>
      <c r="H27" s="127"/>
      <c r="I27" s="57"/>
      <c r="J27" s="133"/>
      <c r="K27" s="133"/>
      <c r="L27" s="57"/>
      <c r="M27" s="147"/>
    </row>
    <row r="28" spans="1:13">
      <c r="A28" s="64"/>
      <c r="B28" s="64"/>
      <c r="C28" s="127"/>
      <c r="D28" s="127"/>
      <c r="E28" s="291">
        <f>'JOB ESTIMATE'!E27</f>
        <v>0</v>
      </c>
      <c r="F28" s="291"/>
      <c r="G28" s="291"/>
      <c r="H28" s="127"/>
      <c r="I28" s="57"/>
      <c r="J28" s="133"/>
      <c r="K28" s="133"/>
      <c r="L28" s="57"/>
      <c r="M28" s="147"/>
    </row>
    <row r="29" spans="1:13">
      <c r="A29" s="64"/>
      <c r="B29" s="64"/>
      <c r="C29" s="127"/>
      <c r="D29" s="127"/>
      <c r="E29" s="291">
        <f>'JOB ESTIMATE'!E28</f>
        <v>0</v>
      </c>
      <c r="F29" s="291"/>
      <c r="G29" s="291"/>
      <c r="H29" s="127"/>
      <c r="I29" s="57"/>
      <c r="J29" s="133"/>
      <c r="K29" s="133"/>
      <c r="L29" s="57"/>
      <c r="M29" s="147"/>
    </row>
    <row r="30" spans="1:13">
      <c r="A30" s="64"/>
      <c r="B30" s="64"/>
      <c r="C30" s="127"/>
      <c r="D30" s="127"/>
      <c r="E30" s="291">
        <f>'JOB ESTIMATE'!E29</f>
        <v>0</v>
      </c>
      <c r="F30" s="291"/>
      <c r="G30" s="291"/>
      <c r="H30" s="127"/>
      <c r="I30" s="57"/>
      <c r="J30" s="133"/>
      <c r="K30" s="133"/>
      <c r="L30" s="57"/>
      <c r="M30" s="147"/>
    </row>
    <row r="31" spans="1:13">
      <c r="A31" s="64"/>
      <c r="B31" s="64"/>
      <c r="C31" s="127"/>
      <c r="D31" s="127"/>
      <c r="E31" s="291">
        <f>'JOB ESTIMATE'!E30</f>
        <v>0</v>
      </c>
      <c r="F31" s="291"/>
      <c r="G31" s="291"/>
      <c r="H31" s="127"/>
      <c r="I31" s="57"/>
      <c r="J31" s="133"/>
      <c r="K31" s="133"/>
      <c r="L31" s="57"/>
      <c r="M31" s="147"/>
    </row>
    <row r="32" spans="1:13">
      <c r="A32" s="64"/>
      <c r="B32" s="64"/>
      <c r="C32" s="127"/>
      <c r="D32" s="127"/>
      <c r="E32" s="127"/>
      <c r="F32" s="127"/>
      <c r="G32" s="127"/>
      <c r="H32" s="127"/>
      <c r="I32" s="57"/>
      <c r="J32" s="133"/>
      <c r="K32" s="133"/>
      <c r="L32" s="57"/>
      <c r="M32" s="147"/>
    </row>
    <row r="33" spans="1:13">
      <c r="A33" s="64"/>
      <c r="B33" s="64"/>
      <c r="C33" s="127"/>
      <c r="D33" s="127"/>
      <c r="E33" s="127"/>
      <c r="F33" s="127"/>
      <c r="G33" s="127"/>
      <c r="H33" s="127"/>
      <c r="I33" s="57"/>
      <c r="J33" s="133"/>
      <c r="K33" s="133"/>
      <c r="L33" s="57"/>
      <c r="M33" s="147"/>
    </row>
    <row r="34" spans="1:13">
      <c r="A34" s="64"/>
      <c r="B34" s="64"/>
      <c r="C34" s="127"/>
      <c r="D34" s="127"/>
      <c r="E34" s="127"/>
      <c r="F34" s="127"/>
      <c r="G34" s="127"/>
      <c r="H34" s="127"/>
      <c r="I34" s="57"/>
      <c r="J34" s="133"/>
      <c r="K34" s="133"/>
      <c r="L34" s="57"/>
      <c r="M34" s="147"/>
    </row>
    <row r="35" spans="1:13" ht="15.75" customHeight="1">
      <c r="A35" s="64"/>
      <c r="B35" s="64"/>
      <c r="C35" s="127"/>
      <c r="D35" s="127"/>
      <c r="E35" s="127"/>
      <c r="F35" s="127"/>
      <c r="G35" s="127"/>
      <c r="H35" s="127"/>
      <c r="I35" s="57"/>
      <c r="J35" s="133"/>
      <c r="K35" s="133"/>
      <c r="L35" s="57"/>
      <c r="M35" s="147"/>
    </row>
    <row r="36" spans="1:13">
      <c r="A36" s="64"/>
      <c r="B36" s="64"/>
      <c r="C36" s="127"/>
      <c r="D36" s="127"/>
      <c r="E36" s="127"/>
      <c r="F36" s="127"/>
      <c r="G36" s="127"/>
      <c r="H36" s="127"/>
      <c r="I36" s="57"/>
      <c r="J36" s="133"/>
      <c r="K36" s="133"/>
      <c r="L36" s="57"/>
      <c r="M36" s="147"/>
    </row>
    <row r="37" spans="1:13">
      <c r="A37" s="64"/>
      <c r="B37" s="64"/>
      <c r="C37" s="127"/>
      <c r="D37" s="127"/>
      <c r="E37" s="127"/>
      <c r="F37" s="127"/>
      <c r="G37" s="127"/>
      <c r="H37" s="127"/>
      <c r="I37" s="57"/>
      <c r="J37" s="133"/>
      <c r="K37" s="133"/>
      <c r="L37" s="57"/>
      <c r="M37" s="147"/>
    </row>
    <row r="38" spans="1:13">
      <c r="A38" s="64"/>
      <c r="B38" s="64"/>
      <c r="C38" s="127"/>
      <c r="D38" s="127"/>
      <c r="E38" s="127"/>
      <c r="F38" s="127"/>
      <c r="G38" s="127"/>
      <c r="H38" s="127"/>
      <c r="I38" s="57"/>
      <c r="J38" s="133"/>
      <c r="K38" s="133"/>
      <c r="L38" s="57"/>
      <c r="M38" s="147"/>
    </row>
    <row r="39" spans="1:13">
      <c r="A39" s="64"/>
      <c r="B39" s="64"/>
      <c r="C39" s="127"/>
      <c r="D39" s="127"/>
      <c r="E39" s="127"/>
      <c r="F39" s="127"/>
      <c r="G39" s="127"/>
      <c r="H39" s="127"/>
      <c r="I39" s="57"/>
      <c r="J39" s="133"/>
      <c r="K39" s="133"/>
      <c r="L39" s="57"/>
      <c r="M39" s="147"/>
    </row>
    <row r="40" spans="1:13">
      <c r="A40" s="64"/>
      <c r="B40" s="64"/>
      <c r="C40" s="127"/>
      <c r="D40" s="127"/>
      <c r="E40" s="127"/>
      <c r="F40" s="127"/>
      <c r="G40" s="127"/>
      <c r="H40" s="127"/>
      <c r="I40" s="57"/>
      <c r="J40" s="133"/>
      <c r="K40" s="133"/>
      <c r="L40" s="57"/>
      <c r="M40" s="147"/>
    </row>
    <row r="41" spans="1:13">
      <c r="A41" s="130" t="s">
        <v>34</v>
      </c>
      <c r="B41" s="130"/>
      <c r="C41" s="130"/>
      <c r="D41" s="130"/>
      <c r="E41" s="130"/>
      <c r="F41" s="130"/>
      <c r="G41" s="130"/>
      <c r="H41" s="130"/>
      <c r="I41" s="130"/>
      <c r="J41" s="130"/>
      <c r="K41" s="130"/>
      <c r="L41" s="57"/>
      <c r="M41" s="148"/>
    </row>
    <row r="42" spans="1:13">
      <c r="A42" s="57"/>
      <c r="B42" s="57"/>
      <c r="C42" s="133"/>
      <c r="D42" s="133"/>
      <c r="E42" s="127"/>
      <c r="F42" s="127"/>
      <c r="G42" s="127"/>
      <c r="H42" s="127"/>
      <c r="I42" s="127"/>
      <c r="J42" s="57"/>
      <c r="K42" s="57"/>
      <c r="L42" s="147"/>
      <c r="M42" s="147"/>
    </row>
    <row r="43" spans="1:13">
      <c r="A43" s="57"/>
      <c r="B43" s="57"/>
      <c r="C43" s="133"/>
      <c r="D43" s="133"/>
      <c r="E43" s="127"/>
      <c r="F43" s="127"/>
      <c r="G43" s="127"/>
      <c r="H43" s="127"/>
      <c r="I43" s="127"/>
      <c r="J43" s="57"/>
      <c r="K43" s="57"/>
      <c r="L43" s="147"/>
      <c r="M43" s="147"/>
    </row>
    <row r="44" spans="1:13">
      <c r="A44" s="57"/>
      <c r="B44" s="57"/>
      <c r="C44" s="133"/>
      <c r="D44" s="133"/>
      <c r="E44" s="127"/>
      <c r="F44" s="127"/>
      <c r="G44" s="127"/>
      <c r="H44" s="127"/>
      <c r="I44" s="127"/>
      <c r="J44" s="57"/>
      <c r="K44" s="57"/>
      <c r="L44" s="147"/>
      <c r="M44" s="147"/>
    </row>
    <row r="45" spans="1:13">
      <c r="A45" s="57"/>
      <c r="B45" s="57"/>
      <c r="C45" s="133"/>
      <c r="D45" s="133"/>
      <c r="E45" s="127"/>
      <c r="F45" s="127"/>
      <c r="G45" s="127"/>
      <c r="H45" s="127"/>
      <c r="I45" s="127"/>
      <c r="J45" s="57"/>
      <c r="K45" s="57"/>
      <c r="L45" s="147"/>
      <c r="M45" s="147"/>
    </row>
    <row r="46" spans="1:13">
      <c r="A46" s="57"/>
      <c r="B46" s="57"/>
      <c r="C46" s="133"/>
      <c r="D46" s="133"/>
      <c r="E46" s="127"/>
      <c r="F46" s="127"/>
      <c r="G46" s="127"/>
      <c r="H46" s="127"/>
      <c r="I46" s="127"/>
      <c r="J46" s="57"/>
      <c r="K46" s="57"/>
      <c r="L46" s="147"/>
      <c r="M46" s="147"/>
    </row>
    <row r="47" spans="1:13">
      <c r="A47" s="57"/>
      <c r="B47" s="57"/>
      <c r="C47" s="133"/>
      <c r="D47" s="133"/>
      <c r="E47" s="127"/>
      <c r="F47" s="127"/>
      <c r="G47" s="127"/>
      <c r="H47" s="127"/>
      <c r="I47" s="127"/>
      <c r="J47" s="57"/>
      <c r="K47" s="57"/>
      <c r="L47" s="147"/>
      <c r="M47" s="147"/>
    </row>
    <row r="48" spans="1:13" ht="18.75" customHeight="1">
      <c r="A48" s="57"/>
      <c r="B48" s="57"/>
      <c r="C48" s="133"/>
      <c r="D48" s="133"/>
      <c r="E48" s="127"/>
      <c r="F48" s="127"/>
      <c r="G48" s="127"/>
      <c r="H48" s="127"/>
      <c r="I48" s="127"/>
      <c r="J48" s="57"/>
      <c r="K48" s="57"/>
      <c r="L48" s="147"/>
      <c r="M48" s="147"/>
    </row>
    <row r="49" spans="1:13" ht="19.5" customHeight="1">
      <c r="A49" s="134"/>
      <c r="B49" s="57"/>
      <c r="C49" s="133"/>
      <c r="D49" s="133"/>
      <c r="E49" s="127"/>
      <c r="F49" s="127"/>
      <c r="G49" s="127"/>
      <c r="H49" s="127"/>
      <c r="I49" s="127"/>
      <c r="J49" s="57"/>
      <c r="K49" s="57"/>
      <c r="L49" s="147"/>
      <c r="M49" s="147"/>
    </row>
    <row r="50" spans="1:13" ht="16.5" customHeight="1">
      <c r="A50" s="57"/>
      <c r="B50" s="57"/>
      <c r="C50" s="133"/>
      <c r="D50" s="133"/>
      <c r="E50" s="127"/>
      <c r="F50" s="127"/>
      <c r="G50" s="127"/>
      <c r="H50" s="127"/>
      <c r="I50" s="127"/>
      <c r="J50" s="57"/>
      <c r="K50" s="57"/>
      <c r="L50" s="147"/>
      <c r="M50" s="147"/>
    </row>
    <row r="51" spans="1:13" ht="15" customHeight="1">
      <c r="A51" s="57"/>
      <c r="B51" s="57"/>
      <c r="C51" s="133"/>
      <c r="D51" s="133"/>
      <c r="E51" s="127"/>
      <c r="F51" s="127"/>
      <c r="G51" s="127"/>
      <c r="H51" s="127"/>
      <c r="I51" s="127"/>
      <c r="J51" s="57"/>
      <c r="K51" s="57"/>
      <c r="L51" s="147"/>
      <c r="M51" s="147"/>
    </row>
    <row r="52" spans="1:13" ht="23.25" customHeight="1">
      <c r="A52" s="206"/>
      <c r="B52" s="206"/>
      <c r="C52" s="206"/>
      <c r="D52" s="206"/>
      <c r="E52" s="206"/>
      <c r="F52" s="206"/>
      <c r="G52" s="206"/>
      <c r="H52" s="206"/>
      <c r="I52" s="206"/>
      <c r="J52" s="206"/>
      <c r="K52" s="206"/>
      <c r="L52" s="206"/>
      <c r="M52" s="210"/>
    </row>
    <row r="53" spans="1:13">
      <c r="A53" s="207"/>
      <c r="B53" s="158"/>
      <c r="C53" s="158"/>
      <c r="D53" s="158"/>
      <c r="E53" s="158"/>
      <c r="F53" s="158"/>
      <c r="G53" s="158"/>
      <c r="H53" s="158"/>
      <c r="I53" s="158"/>
      <c r="J53" s="158"/>
      <c r="K53" s="158"/>
      <c r="L53" s="159"/>
      <c r="M53" s="159"/>
    </row>
    <row r="54" spans="1:13">
      <c r="A54" s="64"/>
      <c r="B54" s="158"/>
      <c r="C54" s="158"/>
      <c r="D54" s="158"/>
      <c r="E54" s="158"/>
      <c r="F54" s="158"/>
      <c r="G54" s="158"/>
      <c r="H54" s="158"/>
      <c r="I54" s="158"/>
      <c r="J54" s="158"/>
      <c r="K54" s="158"/>
      <c r="L54" s="159"/>
      <c r="M54" s="159"/>
    </row>
    <row r="55" spans="1:13">
      <c r="A55" s="64"/>
      <c r="B55" s="64"/>
      <c r="C55" s="64"/>
      <c r="D55" s="64"/>
      <c r="E55" s="64"/>
      <c r="F55" s="64"/>
      <c r="G55" s="64"/>
      <c r="H55" s="64"/>
      <c r="I55" s="64"/>
      <c r="J55" s="64"/>
      <c r="K55" s="64"/>
      <c r="L55" s="64"/>
      <c r="M55" s="64"/>
    </row>
    <row r="56" spans="1:13">
      <c r="A56" s="57"/>
      <c r="B56" s="57"/>
      <c r="C56" s="57"/>
      <c r="D56" s="57"/>
      <c r="E56" s="57"/>
      <c r="F56" s="57"/>
      <c r="G56" s="57"/>
      <c r="H56" s="57"/>
      <c r="I56" s="57"/>
      <c r="J56" s="57"/>
      <c r="K56" s="57"/>
      <c r="L56" s="57"/>
      <c r="M56" s="57"/>
    </row>
    <row r="57" spans="1:13">
      <c r="A57" s="57"/>
      <c r="B57" s="57"/>
      <c r="C57" s="57"/>
      <c r="D57" s="57"/>
      <c r="E57" s="57"/>
      <c r="F57" s="57"/>
      <c r="G57" s="57"/>
      <c r="H57" s="57"/>
      <c r="I57" s="57"/>
      <c r="J57" s="57"/>
      <c r="K57" s="57"/>
      <c r="L57" s="57"/>
      <c r="M57" s="57"/>
    </row>
    <row r="58" spans="1:13">
      <c r="A58" s="101"/>
      <c r="B58" s="101"/>
      <c r="C58" s="101"/>
      <c r="D58" s="101"/>
      <c r="E58" s="101"/>
      <c r="F58" s="101"/>
      <c r="G58" s="101"/>
      <c r="H58" s="101"/>
      <c r="I58" s="101"/>
      <c r="J58" s="101"/>
      <c r="K58" s="101"/>
      <c r="L58" s="101"/>
      <c r="M58" s="101"/>
    </row>
    <row r="59" spans="1:13">
      <c r="A59" s="101"/>
      <c r="B59" s="101"/>
      <c r="C59" s="101"/>
      <c r="D59" s="101"/>
      <c r="E59" s="101"/>
      <c r="F59" s="101"/>
      <c r="G59" s="101"/>
      <c r="H59" s="101"/>
      <c r="I59" s="101"/>
      <c r="J59" s="101"/>
      <c r="K59" s="101"/>
      <c r="L59" s="101"/>
      <c r="M59" s="101"/>
    </row>
    <row r="60" spans="1:13">
      <c r="A60" s="101"/>
      <c r="B60" s="101"/>
      <c r="C60" s="101"/>
      <c r="D60" s="101"/>
      <c r="E60" s="101"/>
      <c r="F60" s="101"/>
      <c r="G60" s="101"/>
      <c r="H60" s="101"/>
      <c r="I60" s="101"/>
      <c r="J60" s="101"/>
      <c r="K60" s="101"/>
      <c r="L60" s="101"/>
      <c r="M60" s="101"/>
    </row>
    <row r="61" spans="1:13">
      <c r="A61" s="101"/>
      <c r="B61" s="101"/>
      <c r="C61" s="101"/>
      <c r="D61" s="101"/>
      <c r="E61" s="101"/>
      <c r="F61" s="101"/>
      <c r="G61" s="101"/>
      <c r="H61" s="101"/>
      <c r="I61" s="101"/>
      <c r="J61" s="101"/>
      <c r="K61" s="101"/>
      <c r="L61" s="101"/>
      <c r="M61" s="101"/>
    </row>
    <row r="62" spans="1:13">
      <c r="A62" s="101"/>
      <c r="B62" s="101"/>
      <c r="C62" s="101"/>
      <c r="D62" s="101"/>
      <c r="E62" s="101"/>
      <c r="F62" s="101"/>
      <c r="G62" s="101"/>
      <c r="H62" s="101"/>
      <c r="I62" s="101"/>
      <c r="J62" s="101"/>
      <c r="K62" s="101"/>
      <c r="L62" s="101"/>
      <c r="M62" s="101"/>
    </row>
    <row r="63" spans="1:13">
      <c r="A63" s="285" t="s">
        <v>35</v>
      </c>
      <c r="B63" s="286"/>
      <c r="C63" s="286"/>
      <c r="D63" s="286"/>
      <c r="E63" s="286"/>
      <c r="F63" s="286"/>
      <c r="G63" s="286"/>
      <c r="H63" s="286"/>
      <c r="I63" s="286"/>
      <c r="J63" s="286"/>
      <c r="K63" s="286"/>
      <c r="L63" s="286"/>
      <c r="M63" s="287"/>
    </row>
    <row r="64" spans="1:13" ht="48" customHeight="1">
      <c r="A64" s="288"/>
      <c r="B64" s="289"/>
      <c r="C64" s="289"/>
      <c r="D64" s="289"/>
      <c r="E64" s="289"/>
      <c r="F64" s="289"/>
      <c r="G64" s="289"/>
      <c r="H64" s="289"/>
      <c r="I64" s="289"/>
      <c r="J64" s="289"/>
      <c r="K64" s="289"/>
      <c r="L64" s="289"/>
      <c r="M64" s="290"/>
    </row>
    <row r="65" spans="1:13">
      <c r="A65" s="208"/>
      <c r="B65" s="178"/>
      <c r="C65" s="178"/>
      <c r="D65" s="178"/>
      <c r="E65" s="178"/>
      <c r="F65" s="178"/>
      <c r="G65" s="178"/>
      <c r="H65" s="178"/>
      <c r="I65" s="178"/>
      <c r="J65" s="178"/>
      <c r="K65" s="178"/>
      <c r="L65" s="178"/>
      <c r="M65" s="211"/>
    </row>
    <row r="66" spans="1:13" ht="21">
      <c r="A66" s="212"/>
      <c r="B66" s="213"/>
      <c r="C66" s="283" t="s">
        <v>36</v>
      </c>
      <c r="D66" s="283"/>
      <c r="E66" s="283"/>
      <c r="F66" s="283"/>
      <c r="G66" s="283"/>
      <c r="H66" s="214"/>
      <c r="I66" s="284"/>
      <c r="J66" s="284"/>
      <c r="K66" s="284"/>
      <c r="L66" s="284"/>
      <c r="M66" s="215"/>
    </row>
    <row r="67" spans="1:13">
      <c r="A67" s="101"/>
      <c r="B67" s="101"/>
      <c r="C67" s="101"/>
      <c r="D67" s="101"/>
      <c r="E67" s="101"/>
      <c r="F67" s="101"/>
      <c r="G67" s="101"/>
      <c r="H67" s="101"/>
      <c r="I67" s="101"/>
      <c r="J67" s="101"/>
      <c r="K67" s="101"/>
      <c r="L67" s="101"/>
      <c r="M67" s="101"/>
    </row>
    <row r="68" spans="1:13">
      <c r="A68" s="101"/>
      <c r="B68" s="101"/>
      <c r="C68" s="101"/>
      <c r="D68" s="101"/>
      <c r="E68" s="101"/>
      <c r="F68" s="101"/>
      <c r="G68" s="101"/>
      <c r="H68" s="101"/>
      <c r="I68" s="101"/>
      <c r="J68" s="101"/>
      <c r="K68" s="101"/>
      <c r="L68" s="101"/>
      <c r="M68" s="101"/>
    </row>
    <row r="69" spans="1:13">
      <c r="A69" s="101"/>
      <c r="B69" s="101"/>
      <c r="C69" s="101"/>
      <c r="D69" s="101"/>
      <c r="E69" s="101"/>
      <c r="F69" s="101"/>
      <c r="G69" s="101"/>
      <c r="H69" s="101"/>
      <c r="I69" s="101"/>
      <c r="J69" s="101"/>
      <c r="K69" s="101"/>
      <c r="L69" s="101"/>
      <c r="M69" s="101"/>
    </row>
    <row r="70" spans="1:13">
      <c r="A70" s="101"/>
      <c r="B70" s="101"/>
      <c r="C70" s="101"/>
      <c r="D70" s="101"/>
      <c r="E70" s="101"/>
      <c r="F70" s="101"/>
      <c r="G70" s="101"/>
      <c r="H70" s="101"/>
      <c r="I70" s="101"/>
      <c r="J70" s="101"/>
      <c r="K70" s="101"/>
      <c r="L70" s="101"/>
      <c r="M70" s="101"/>
    </row>
  </sheetData>
  <protectedRanges>
    <protectedRange sqref="A37:B37" name="Range29"/>
    <protectedRange sqref="A35:XFD37 B25:B32 F23 G25:XFD32 F25:F27 D25:D32 F29:F32 A33:D34 F33:XFD34" name="REQUEST"/>
    <protectedRange sqref="C22:C32" name="REQUEST_2"/>
  </protectedRanges>
  <mergeCells count="57">
    <mergeCell ref="I1:M1"/>
    <mergeCell ref="I2:M2"/>
    <mergeCell ref="I3:M3"/>
    <mergeCell ref="A6:M6"/>
    <mergeCell ref="A7:J7"/>
    <mergeCell ref="K7:L7"/>
    <mergeCell ref="A11:B11"/>
    <mergeCell ref="K11:L11"/>
    <mergeCell ref="A12:B12"/>
    <mergeCell ref="K12:L12"/>
    <mergeCell ref="A8:B8"/>
    <mergeCell ref="C8:F8"/>
    <mergeCell ref="H8:J8"/>
    <mergeCell ref="K8:L8"/>
    <mergeCell ref="H9:J9"/>
    <mergeCell ref="K9:L9"/>
    <mergeCell ref="H17:J17"/>
    <mergeCell ref="K17:L17"/>
    <mergeCell ref="A18:B18"/>
    <mergeCell ref="C18:E18"/>
    <mergeCell ref="F18:G18"/>
    <mergeCell ref="H18:J18"/>
    <mergeCell ref="K18:L18"/>
    <mergeCell ref="C17:E17"/>
    <mergeCell ref="F17:G17"/>
    <mergeCell ref="C20:D20"/>
    <mergeCell ref="F20:H20"/>
    <mergeCell ref="C66:G66"/>
    <mergeCell ref="I66:L66"/>
    <mergeCell ref="A63:M64"/>
    <mergeCell ref="E21:G21"/>
    <mergeCell ref="E22:G22"/>
    <mergeCell ref="E23:G23"/>
    <mergeCell ref="E24:G24"/>
    <mergeCell ref="E25:G25"/>
    <mergeCell ref="E26:G26"/>
    <mergeCell ref="E27:G27"/>
    <mergeCell ref="E28:G28"/>
    <mergeCell ref="E29:G29"/>
    <mergeCell ref="E30:G30"/>
    <mergeCell ref="E31:G31"/>
    <mergeCell ref="H15:J16"/>
    <mergeCell ref="K15:L16"/>
    <mergeCell ref="A9:B10"/>
    <mergeCell ref="C9:F11"/>
    <mergeCell ref="H11:J13"/>
    <mergeCell ref="C12:F14"/>
    <mergeCell ref="A15:B15"/>
    <mergeCell ref="A16:B16"/>
    <mergeCell ref="C16:D16"/>
    <mergeCell ref="A13:B13"/>
    <mergeCell ref="K13:L13"/>
    <mergeCell ref="A14:B14"/>
    <mergeCell ref="H14:J14"/>
    <mergeCell ref="K14:L14"/>
    <mergeCell ref="H10:J10"/>
    <mergeCell ref="K10:L10"/>
  </mergeCells>
  <pageMargins left="0.39500000000000002" right="0" top="0" bottom="0" header="0" footer="0"/>
  <pageSetup scale="6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7"/>
  <sheetViews>
    <sheetView zoomScaleNormal="100" workbookViewId="0">
      <selection activeCell="M28" sqref="M28"/>
    </sheetView>
  </sheetViews>
  <sheetFormatPr defaultColWidth="9.140625" defaultRowHeight="15"/>
  <cols>
    <col min="1" max="1" width="9.5703125" customWidth="1"/>
    <col min="2" max="2" width="8.85546875" customWidth="1"/>
    <col min="3" max="3" width="6.140625" customWidth="1"/>
    <col min="4" max="4" width="11" customWidth="1"/>
    <col min="6" max="6" width="6" customWidth="1"/>
    <col min="7" max="7" width="18.140625" customWidth="1"/>
    <col min="8" max="8" width="13.140625" customWidth="1"/>
    <col min="9" max="9" width="5.5703125" customWidth="1"/>
    <col min="10" max="10" width="4.85546875" customWidth="1"/>
    <col min="11" max="11" width="12.42578125" customWidth="1"/>
    <col min="12" max="12" width="11.5703125" customWidth="1"/>
    <col min="13" max="13" width="17.42578125" customWidth="1"/>
    <col min="14" max="14" width="16.28515625" customWidth="1"/>
    <col min="15" max="15" width="13.7109375" customWidth="1"/>
  </cols>
  <sheetData>
    <row r="1" spans="1:13">
      <c r="A1" s="166"/>
      <c r="B1" s="166"/>
      <c r="C1" s="166"/>
      <c r="D1" s="166"/>
      <c r="E1" s="166"/>
      <c r="F1" s="166"/>
      <c r="G1" s="166"/>
      <c r="H1" s="166"/>
      <c r="I1" s="311" t="s">
        <v>0</v>
      </c>
      <c r="J1" s="312"/>
      <c r="K1" s="312"/>
      <c r="L1" s="312"/>
      <c r="M1" s="312"/>
    </row>
    <row r="2" spans="1:13" ht="19.5">
      <c r="A2" s="167"/>
      <c r="B2" s="167"/>
      <c r="C2" s="167"/>
      <c r="D2" s="167"/>
      <c r="E2" s="167"/>
      <c r="F2" s="167"/>
      <c r="G2" s="168"/>
      <c r="H2" s="169"/>
      <c r="I2" s="312" t="s">
        <v>37</v>
      </c>
      <c r="J2" s="312"/>
      <c r="K2" s="312"/>
      <c r="L2" s="312"/>
      <c r="M2" s="312"/>
    </row>
    <row r="3" spans="1:13" ht="15.75">
      <c r="A3" s="170"/>
      <c r="B3" s="171"/>
      <c r="C3" s="171"/>
      <c r="D3" s="171"/>
      <c r="E3" s="171"/>
      <c r="F3" s="171"/>
      <c r="G3" s="171"/>
      <c r="H3" s="171"/>
      <c r="I3" s="312" t="s">
        <v>38</v>
      </c>
      <c r="J3" s="312"/>
      <c r="K3" s="312"/>
      <c r="L3" s="312"/>
      <c r="M3" s="312"/>
    </row>
    <row r="4" spans="1:13">
      <c r="A4" s="172"/>
      <c r="B4" s="171"/>
      <c r="C4" s="171"/>
      <c r="D4" s="171"/>
      <c r="E4" s="171"/>
      <c r="F4" s="171"/>
      <c r="G4" s="171"/>
      <c r="H4" s="171"/>
      <c r="I4" s="182"/>
      <c r="J4" s="182"/>
      <c r="K4" s="182"/>
      <c r="L4" s="182"/>
      <c r="M4" s="182"/>
    </row>
    <row r="5" spans="1:13">
      <c r="A5" s="173"/>
      <c r="B5" s="171"/>
      <c r="C5" s="171"/>
      <c r="D5" s="171"/>
      <c r="E5" s="171"/>
      <c r="F5" s="171"/>
      <c r="G5" s="171"/>
      <c r="H5" s="171"/>
      <c r="I5" s="171"/>
      <c r="J5" s="171"/>
      <c r="K5" s="171"/>
      <c r="L5" s="171"/>
      <c r="M5" s="171"/>
    </row>
    <row r="6" spans="1:13" ht="22.5" thickBot="1">
      <c r="A6" s="313" t="s">
        <v>39</v>
      </c>
      <c r="B6" s="313"/>
      <c r="C6" s="313"/>
      <c r="D6" s="313"/>
      <c r="E6" s="313"/>
      <c r="F6" s="313"/>
      <c r="G6" s="313"/>
      <c r="H6" s="313"/>
      <c r="I6" s="313"/>
      <c r="J6" s="313"/>
      <c r="K6" s="313"/>
      <c r="L6" s="313"/>
      <c r="M6" s="313"/>
    </row>
    <row r="7" spans="1:13" ht="15.75">
      <c r="A7" s="314" t="s">
        <v>4</v>
      </c>
      <c r="B7" s="315"/>
      <c r="C7" s="315"/>
      <c r="D7" s="315"/>
      <c r="E7" s="315"/>
      <c r="F7" s="315"/>
      <c r="G7" s="315"/>
      <c r="H7" s="315"/>
      <c r="I7" s="315"/>
      <c r="J7" s="315"/>
      <c r="K7" s="316" t="s">
        <v>62</v>
      </c>
      <c r="L7" s="316"/>
      <c r="M7" s="140"/>
    </row>
    <row r="8" spans="1:13" ht="15" customHeight="1">
      <c r="A8" s="325" t="s">
        <v>5</v>
      </c>
      <c r="B8" s="326"/>
      <c r="C8" s="354" t="s">
        <v>6</v>
      </c>
      <c r="D8" s="355"/>
      <c r="E8" s="355"/>
      <c r="F8" s="356"/>
      <c r="G8" s="225" t="s">
        <v>7</v>
      </c>
      <c r="H8" s="329" t="s">
        <v>8</v>
      </c>
      <c r="I8" s="334"/>
      <c r="J8" s="330"/>
      <c r="K8" s="329" t="s">
        <v>9</v>
      </c>
      <c r="L8" s="330"/>
      <c r="M8" s="218" t="s">
        <v>10</v>
      </c>
    </row>
    <row r="9" spans="1:13" ht="15" customHeight="1">
      <c r="A9" s="366">
        <f>'JOB ESTIMATE'!A9:B10</f>
        <v>0</v>
      </c>
      <c r="B9" s="367"/>
      <c r="C9" s="370">
        <f>'JOB ESTIMATE'!C9:F11</f>
        <v>0</v>
      </c>
      <c r="D9" s="371"/>
      <c r="E9" s="371"/>
      <c r="F9" s="372"/>
      <c r="G9" s="226"/>
      <c r="H9" s="331" t="str">
        <f>'JOB ESTIMATE'!H9:J9</f>
        <v>white</v>
      </c>
      <c r="I9" s="338"/>
      <c r="J9" s="332"/>
      <c r="K9" s="331"/>
      <c r="L9" s="338"/>
      <c r="M9" s="219" t="s">
        <v>11</v>
      </c>
    </row>
    <row r="10" spans="1:13" ht="15.75" customHeight="1">
      <c r="A10" s="368"/>
      <c r="B10" s="369"/>
      <c r="C10" s="370"/>
      <c r="D10" s="371"/>
      <c r="E10" s="371"/>
      <c r="F10" s="372"/>
      <c r="G10" s="227" t="s">
        <v>12</v>
      </c>
      <c r="H10" s="329" t="s">
        <v>13</v>
      </c>
      <c r="I10" s="334"/>
      <c r="J10" s="330"/>
      <c r="K10" s="329" t="s">
        <v>14</v>
      </c>
      <c r="L10" s="330"/>
      <c r="M10" s="220"/>
    </row>
    <row r="11" spans="1:13" ht="15.75" customHeight="1">
      <c r="A11" s="362" t="s">
        <v>40</v>
      </c>
      <c r="B11" s="363"/>
      <c r="C11" s="370"/>
      <c r="D11" s="371"/>
      <c r="E11" s="371"/>
      <c r="F11" s="372"/>
      <c r="G11" s="228"/>
      <c r="H11" s="373">
        <f>'JOB ESTIMATE'!H11:J13</f>
        <v>0</v>
      </c>
      <c r="I11" s="333"/>
      <c r="J11" s="374"/>
      <c r="K11" s="364"/>
      <c r="L11" s="365"/>
      <c r="M11" s="220" t="s">
        <v>15</v>
      </c>
    </row>
    <row r="12" spans="1:13" ht="15" customHeight="1">
      <c r="A12" s="327" t="s">
        <v>350</v>
      </c>
      <c r="B12" s="328"/>
      <c r="C12" s="333">
        <f>'JOB ESTIMATE'!C12:F14</f>
        <v>0</v>
      </c>
      <c r="D12" s="333"/>
      <c r="E12" s="333"/>
      <c r="F12" s="333"/>
      <c r="G12" s="229" t="s">
        <v>16</v>
      </c>
      <c r="H12" s="373"/>
      <c r="I12" s="333"/>
      <c r="J12" s="374"/>
      <c r="K12" s="329" t="s">
        <v>17</v>
      </c>
      <c r="L12" s="330"/>
      <c r="M12" s="221"/>
    </row>
    <row r="13" spans="1:13" ht="15" customHeight="1">
      <c r="A13" s="325" t="s">
        <v>18</v>
      </c>
      <c r="B13" s="326"/>
      <c r="C13" s="333"/>
      <c r="D13" s="333"/>
      <c r="E13" s="333"/>
      <c r="F13" s="333"/>
      <c r="G13" s="230">
        <f>'JOB ESTIMATE'!G13</f>
        <v>0</v>
      </c>
      <c r="H13" s="375"/>
      <c r="I13" s="376"/>
      <c r="J13" s="377"/>
      <c r="K13" s="331"/>
      <c r="L13" s="332"/>
      <c r="M13" s="220" t="s">
        <v>19</v>
      </c>
    </row>
    <row r="14" spans="1:13" ht="15.75">
      <c r="A14" s="347">
        <f>'JOB ESTIMATE'!A14:B14</f>
        <v>0</v>
      </c>
      <c r="B14" s="328"/>
      <c r="C14" s="333"/>
      <c r="D14" s="333"/>
      <c r="E14" s="333"/>
      <c r="F14" s="333"/>
      <c r="G14" s="231">
        <f>'JOB ESTIMATE'!G14</f>
        <v>0</v>
      </c>
      <c r="H14" s="329" t="s">
        <v>20</v>
      </c>
      <c r="I14" s="334"/>
      <c r="J14" s="330"/>
      <c r="K14" s="329" t="s">
        <v>21</v>
      </c>
      <c r="L14" s="330"/>
      <c r="M14" s="222"/>
    </row>
    <row r="15" spans="1:13" ht="15.75" customHeight="1">
      <c r="A15" s="325" t="s">
        <v>351</v>
      </c>
      <c r="B15" s="326"/>
      <c r="C15" s="232" t="s">
        <v>23</v>
      </c>
      <c r="D15" s="225"/>
      <c r="E15" s="232" t="s">
        <v>24</v>
      </c>
      <c r="F15" s="233"/>
      <c r="G15" s="229" t="s">
        <v>25</v>
      </c>
      <c r="H15" s="335">
        <f>'JOB ESTIMATE'!H15:J16</f>
        <v>0</v>
      </c>
      <c r="I15" s="336"/>
      <c r="J15" s="337"/>
      <c r="K15" s="335"/>
      <c r="L15" s="337"/>
      <c r="M15" s="220" t="s">
        <v>26</v>
      </c>
    </row>
    <row r="16" spans="1:13" ht="15" customHeight="1">
      <c r="A16" s="360"/>
      <c r="B16" s="361"/>
      <c r="C16" s="339"/>
      <c r="D16" s="328"/>
      <c r="E16" s="234"/>
      <c r="F16" s="235"/>
      <c r="G16" s="236"/>
      <c r="H16" s="331"/>
      <c r="I16" s="338"/>
      <c r="J16" s="332"/>
      <c r="K16" s="331"/>
      <c r="L16" s="332"/>
      <c r="M16" s="223"/>
    </row>
    <row r="17" spans="1:15" ht="15.75" customHeight="1">
      <c r="A17" s="237" t="s">
        <v>27</v>
      </c>
      <c r="B17" s="238"/>
      <c r="C17" s="329" t="s">
        <v>28</v>
      </c>
      <c r="D17" s="334"/>
      <c r="E17" s="330"/>
      <c r="F17" s="357" t="s">
        <v>352</v>
      </c>
      <c r="G17" s="358"/>
      <c r="H17" s="359" t="s">
        <v>29</v>
      </c>
      <c r="I17" s="359"/>
      <c r="J17" s="359"/>
      <c r="K17" s="329" t="s">
        <v>30</v>
      </c>
      <c r="L17" s="330"/>
      <c r="M17" s="223"/>
    </row>
    <row r="18" spans="1:15" ht="15" customHeight="1" thickBot="1">
      <c r="A18" s="317"/>
      <c r="B18" s="318"/>
      <c r="C18" s="319">
        <f>'JOB ESTIMATE'!C18:E18</f>
        <v>0</v>
      </c>
      <c r="D18" s="320"/>
      <c r="E18" s="318"/>
      <c r="F18" s="321"/>
      <c r="G18" s="322"/>
      <c r="H18" s="299">
        <f>'JOB ESTIMATE'!H18:J18</f>
        <v>0</v>
      </c>
      <c r="I18" s="299"/>
      <c r="J18" s="299"/>
      <c r="K18" s="323">
        <f>'JOB ESTIMATE'!K18:L18</f>
        <v>0</v>
      </c>
      <c r="L18" s="324"/>
      <c r="M18" s="224"/>
    </row>
    <row r="19" spans="1:15" ht="15.75">
      <c r="A19" s="123" t="s">
        <v>31</v>
      </c>
      <c r="B19" s="123"/>
      <c r="C19" s="123" t="s">
        <v>32</v>
      </c>
      <c r="D19" s="123"/>
      <c r="E19" s="124"/>
      <c r="F19" s="125" t="s">
        <v>33</v>
      </c>
      <c r="G19" s="125"/>
      <c r="H19" s="125"/>
      <c r="I19" s="124"/>
      <c r="J19" s="57"/>
      <c r="K19" s="123" t="s">
        <v>41</v>
      </c>
      <c r="L19" s="57"/>
      <c r="M19" s="123" t="s">
        <v>42</v>
      </c>
    </row>
    <row r="20" spans="1:15">
      <c r="A20" s="64"/>
      <c r="B20" s="64"/>
      <c r="C20" s="57"/>
      <c r="D20" s="127"/>
      <c r="E20" s="291">
        <f>'JOB ESTIMATE'!E20:G20</f>
        <v>0</v>
      </c>
      <c r="F20" s="291"/>
      <c r="G20" s="291"/>
      <c r="H20" s="127"/>
      <c r="I20" s="57"/>
      <c r="J20" s="133"/>
      <c r="K20" s="147">
        <f>'JOB ESTIMATE'!K20</f>
        <v>0</v>
      </c>
      <c r="L20" s="57"/>
      <c r="M20" s="146">
        <f t="shared" ref="M20:M28" si="0">K20</f>
        <v>0</v>
      </c>
      <c r="N20" s="188">
        <f>SUM(M20:M26)</f>
        <v>0</v>
      </c>
      <c r="O20" t="s">
        <v>43</v>
      </c>
    </row>
    <row r="21" spans="1:15">
      <c r="A21" s="64"/>
      <c r="B21" s="64"/>
      <c r="C21" s="57"/>
      <c r="D21" s="127"/>
      <c r="E21" s="291">
        <f>'JOB ESTIMATE'!E21</f>
        <v>0</v>
      </c>
      <c r="F21" s="291"/>
      <c r="G21" s="291"/>
      <c r="H21" s="127"/>
      <c r="I21" s="57"/>
      <c r="J21" s="133"/>
      <c r="K21" s="147">
        <f>'JOB ESTIMATE'!K21</f>
        <v>0</v>
      </c>
      <c r="L21" s="57"/>
      <c r="M21" s="146">
        <f t="shared" si="0"/>
        <v>0</v>
      </c>
      <c r="N21" s="188">
        <f>SUM(M32:M38)</f>
        <v>0</v>
      </c>
      <c r="O21" t="s">
        <v>44</v>
      </c>
    </row>
    <row r="22" spans="1:15">
      <c r="A22" s="64"/>
      <c r="B22" s="64"/>
      <c r="C22" s="57"/>
      <c r="D22" s="127"/>
      <c r="E22" s="291">
        <f>'JOB ESTIMATE'!E22</f>
        <v>0</v>
      </c>
      <c r="F22" s="291"/>
      <c r="G22" s="291"/>
      <c r="H22" s="127"/>
      <c r="I22" s="57"/>
      <c r="J22" s="133"/>
      <c r="K22" s="147">
        <f>'JOB ESTIMATE'!K22</f>
        <v>0</v>
      </c>
      <c r="L22" s="57"/>
      <c r="M22" s="146">
        <f t="shared" si="0"/>
        <v>0</v>
      </c>
      <c r="N22" s="188">
        <f>SUM(M40:M47)</f>
        <v>0</v>
      </c>
      <c r="O22" t="s">
        <v>45</v>
      </c>
    </row>
    <row r="23" spans="1:15">
      <c r="A23" s="64"/>
      <c r="B23" s="64"/>
      <c r="C23" s="57"/>
      <c r="D23" s="127"/>
      <c r="E23" s="291">
        <f>'JOB ESTIMATE'!E23</f>
        <v>0</v>
      </c>
      <c r="F23" s="291"/>
      <c r="G23" s="291"/>
      <c r="H23" s="127"/>
      <c r="I23" s="57"/>
      <c r="J23" s="133"/>
      <c r="K23" s="147">
        <f>'JOB ESTIMATE'!K23</f>
        <v>0</v>
      </c>
      <c r="L23" s="57"/>
      <c r="M23" s="146">
        <f t="shared" si="0"/>
        <v>0</v>
      </c>
      <c r="N23" s="188">
        <f>SUM(N20:N22)</f>
        <v>0</v>
      </c>
      <c r="O23" s="1" t="s">
        <v>46</v>
      </c>
    </row>
    <row r="24" spans="1:15">
      <c r="A24" s="64"/>
      <c r="B24" s="64"/>
      <c r="C24" s="57"/>
      <c r="D24" s="127"/>
      <c r="E24" s="291">
        <f>'JOB ESTIMATE'!E24</f>
        <v>0</v>
      </c>
      <c r="F24" s="291"/>
      <c r="G24" s="291"/>
      <c r="H24" s="127"/>
      <c r="I24" s="57"/>
      <c r="J24" s="133"/>
      <c r="K24" s="147">
        <f>'JOB ESTIMATE'!K24</f>
        <v>0</v>
      </c>
      <c r="L24" s="57"/>
      <c r="M24" s="146">
        <f t="shared" si="0"/>
        <v>0</v>
      </c>
    </row>
    <row r="25" spans="1:15">
      <c r="A25" s="64"/>
      <c r="B25" s="64"/>
      <c r="C25" s="57"/>
      <c r="D25" s="127"/>
      <c r="E25" s="291">
        <f>'JOB ESTIMATE'!E25</f>
        <v>0</v>
      </c>
      <c r="F25" s="291"/>
      <c r="G25" s="291"/>
      <c r="H25" s="127"/>
      <c r="I25" s="57"/>
      <c r="J25" s="133"/>
      <c r="K25" s="147">
        <f>'JOB ESTIMATE'!K25</f>
        <v>0</v>
      </c>
      <c r="L25" s="57"/>
      <c r="M25" s="146">
        <f t="shared" si="0"/>
        <v>0</v>
      </c>
    </row>
    <row r="26" spans="1:15">
      <c r="A26" s="64"/>
      <c r="B26" s="64"/>
      <c r="C26" s="57"/>
      <c r="D26" s="127"/>
      <c r="E26" s="291">
        <f>'JOB ESTIMATE'!E26</f>
        <v>0</v>
      </c>
      <c r="F26" s="291"/>
      <c r="G26" s="291"/>
      <c r="H26" s="127"/>
      <c r="I26" s="57"/>
      <c r="J26" s="133"/>
      <c r="K26" s="147">
        <f>'JOB ESTIMATE'!K26</f>
        <v>0</v>
      </c>
      <c r="L26" s="57"/>
      <c r="M26" s="146">
        <f t="shared" si="0"/>
        <v>0</v>
      </c>
    </row>
    <row r="27" spans="1:15">
      <c r="A27" s="64"/>
      <c r="B27" s="64"/>
      <c r="C27" s="57"/>
      <c r="D27" s="127"/>
      <c r="E27" s="291">
        <f>'JOB ESTIMATE'!E27</f>
        <v>0</v>
      </c>
      <c r="F27" s="291"/>
      <c r="G27" s="291"/>
      <c r="H27" s="127"/>
      <c r="I27" s="57"/>
      <c r="J27" s="133"/>
      <c r="K27" s="147">
        <f>'JOB ESTIMATE'!K27</f>
        <v>0</v>
      </c>
      <c r="L27" s="57"/>
      <c r="M27" s="146">
        <f t="shared" si="0"/>
        <v>0</v>
      </c>
    </row>
    <row r="28" spans="1:15">
      <c r="A28" s="64"/>
      <c r="B28" s="64"/>
      <c r="C28" s="57"/>
      <c r="D28" s="127"/>
      <c r="E28" s="291">
        <f>'JOB ESTIMATE'!E28</f>
        <v>0</v>
      </c>
      <c r="F28" s="291"/>
      <c r="G28" s="291"/>
      <c r="H28" s="127"/>
      <c r="I28" s="57"/>
      <c r="J28" s="133"/>
      <c r="K28" s="147">
        <f>'JOB ESTIMATE'!K28</f>
        <v>0</v>
      </c>
      <c r="L28" s="57"/>
      <c r="M28" s="146">
        <f t="shared" si="0"/>
        <v>0</v>
      </c>
    </row>
    <row r="29" spans="1:15">
      <c r="A29" s="64"/>
      <c r="B29" s="64"/>
      <c r="C29" s="57"/>
      <c r="D29" s="127"/>
      <c r="E29" s="291"/>
      <c r="F29" s="291"/>
      <c r="G29" s="291"/>
      <c r="H29" s="127"/>
      <c r="I29" s="57"/>
      <c r="J29" s="133"/>
      <c r="K29" s="147"/>
      <c r="L29" s="57"/>
      <c r="M29" s="146"/>
    </row>
    <row r="30" spans="1:15">
      <c r="A30" s="64"/>
      <c r="B30" s="64"/>
      <c r="C30" s="57"/>
      <c r="D30" s="127"/>
      <c r="E30" s="291"/>
      <c r="F30" s="291"/>
      <c r="G30" s="291"/>
      <c r="H30" s="127"/>
      <c r="I30" s="57"/>
      <c r="J30" s="133"/>
      <c r="K30" s="147"/>
      <c r="L30" s="57"/>
      <c r="M30" s="146"/>
    </row>
    <row r="31" spans="1:15">
      <c r="A31" s="345" t="s">
        <v>47</v>
      </c>
      <c r="B31" s="345"/>
      <c r="C31" s="130"/>
      <c r="D31" s="57"/>
      <c r="E31" s="130" t="s">
        <v>33</v>
      </c>
      <c r="F31" s="57"/>
      <c r="G31" s="130"/>
      <c r="H31" s="130"/>
      <c r="I31" s="346" t="s">
        <v>48</v>
      </c>
      <c r="J31" s="346"/>
      <c r="K31" s="189" t="s">
        <v>49</v>
      </c>
      <c r="L31" s="130"/>
      <c r="M31" s="148" t="s">
        <v>42</v>
      </c>
    </row>
    <row r="32" spans="1:15">
      <c r="A32" s="345">
        <f>'JOB ESTIMATE'!A34:B34</f>
        <v>0</v>
      </c>
      <c r="B32" s="345"/>
      <c r="C32" s="175"/>
      <c r="D32" s="127">
        <f>'JOB ESTIMATE'!D34</f>
        <v>0</v>
      </c>
      <c r="E32" s="291"/>
      <c r="F32" s="291"/>
      <c r="G32" s="291"/>
      <c r="H32" s="127"/>
      <c r="I32" s="190">
        <f>'JOB ESTIMATE'!I34</f>
        <v>0</v>
      </c>
      <c r="J32" s="127"/>
      <c r="K32" s="149">
        <f>'JOB ESTIMATE'!K34</f>
        <v>0</v>
      </c>
      <c r="L32" s="127"/>
      <c r="M32" s="149">
        <f>K32*I32</f>
        <v>0</v>
      </c>
      <c r="N32" s="191"/>
      <c r="O32" s="192"/>
    </row>
    <row r="33" spans="1:15">
      <c r="A33" s="345">
        <f>'JOB ESTIMATE'!A35:B35</f>
        <v>0</v>
      </c>
      <c r="B33" s="345"/>
      <c r="C33" s="175"/>
      <c r="D33" s="127">
        <f>'JOB ESTIMATE'!D35</f>
        <v>0</v>
      </c>
      <c r="E33" s="291"/>
      <c r="F33" s="291"/>
      <c r="G33" s="291"/>
      <c r="H33" s="127"/>
      <c r="I33" s="190">
        <f>'JOB ESTIMATE'!I35</f>
        <v>0</v>
      </c>
      <c r="J33" s="133"/>
      <c r="K33" s="149">
        <f>'JOB ESTIMATE'!K35</f>
        <v>0</v>
      </c>
      <c r="L33" s="127"/>
      <c r="M33" s="149">
        <f t="shared" ref="M33:M37" si="1">K33*I33</f>
        <v>0</v>
      </c>
      <c r="N33" s="191"/>
      <c r="O33" s="192"/>
    </row>
    <row r="34" spans="1:15">
      <c r="A34" s="345">
        <f>'JOB ESTIMATE'!A36:B36</f>
        <v>0</v>
      </c>
      <c r="B34" s="345"/>
      <c r="C34" s="175"/>
      <c r="D34" s="127">
        <f>'JOB ESTIMATE'!D36</f>
        <v>0</v>
      </c>
      <c r="E34" s="291"/>
      <c r="F34" s="291"/>
      <c r="G34" s="291"/>
      <c r="H34" s="127"/>
      <c r="I34" s="190">
        <f>'JOB ESTIMATE'!I36</f>
        <v>0</v>
      </c>
      <c r="J34" s="133"/>
      <c r="K34" s="149">
        <f>'JOB ESTIMATE'!K36</f>
        <v>0</v>
      </c>
      <c r="L34" s="127"/>
      <c r="M34" s="149">
        <f t="shared" si="1"/>
        <v>0</v>
      </c>
      <c r="N34" s="191"/>
      <c r="O34" s="192"/>
    </row>
    <row r="35" spans="1:15">
      <c r="A35" s="345">
        <f>'JOB ESTIMATE'!A39:B39</f>
        <v>0</v>
      </c>
      <c r="B35" s="345"/>
      <c r="C35" s="175"/>
      <c r="D35" s="127">
        <f>'JOB ESTIMATE'!D39</f>
        <v>0</v>
      </c>
      <c r="E35" s="291"/>
      <c r="F35" s="291"/>
      <c r="G35" s="291"/>
      <c r="H35" s="127"/>
      <c r="I35" s="190">
        <f>'JOB ESTIMATE'!I37</f>
        <v>0</v>
      </c>
      <c r="J35" s="133"/>
      <c r="K35" s="149">
        <f>'JOB ESTIMATE'!K39</f>
        <v>0</v>
      </c>
      <c r="L35" s="127"/>
      <c r="M35" s="149">
        <f t="shared" si="1"/>
        <v>0</v>
      </c>
    </row>
    <row r="36" spans="1:15">
      <c r="A36" s="345">
        <f>'JOB ESTIMATE'!A40:B40</f>
        <v>0</v>
      </c>
      <c r="B36" s="345"/>
      <c r="C36" s="175"/>
      <c r="D36" s="127">
        <f>'JOB ESTIMATE'!D40</f>
        <v>0</v>
      </c>
      <c r="E36" s="291"/>
      <c r="F36" s="291"/>
      <c r="G36" s="291"/>
      <c r="H36" s="127"/>
      <c r="I36" s="190">
        <f>'JOB ESTIMATE'!I38</f>
        <v>0</v>
      </c>
      <c r="J36" s="133"/>
      <c r="K36" s="149">
        <f>'JOB ESTIMATE'!K40</f>
        <v>0</v>
      </c>
      <c r="L36" s="127"/>
      <c r="M36" s="149">
        <f t="shared" si="1"/>
        <v>0</v>
      </c>
    </row>
    <row r="37" spans="1:15">
      <c r="A37" s="345"/>
      <c r="B37" s="345"/>
      <c r="C37" s="175"/>
      <c r="D37" s="127"/>
      <c r="E37" s="291"/>
      <c r="F37" s="291"/>
      <c r="G37" s="291"/>
      <c r="H37" s="127"/>
      <c r="I37" s="190"/>
      <c r="J37" s="133"/>
      <c r="K37" s="149"/>
      <c r="L37" s="127"/>
      <c r="M37" s="149">
        <f t="shared" si="1"/>
        <v>0</v>
      </c>
    </row>
    <row r="38" spans="1:15">
      <c r="A38" s="345"/>
      <c r="B38" s="345"/>
      <c r="C38" s="175"/>
      <c r="D38" s="127"/>
      <c r="E38" s="127"/>
      <c r="F38" s="57"/>
      <c r="G38" s="127"/>
      <c r="H38" s="127"/>
      <c r="I38" s="190"/>
      <c r="J38" s="133"/>
      <c r="K38" s="149"/>
      <c r="L38" s="127"/>
      <c r="M38" s="149">
        <f t="shared" ref="M38" si="2">K38*I38</f>
        <v>0</v>
      </c>
    </row>
    <row r="39" spans="1:15">
      <c r="A39" s="130" t="s">
        <v>50</v>
      </c>
      <c r="B39" s="130"/>
      <c r="C39" s="130"/>
      <c r="D39" s="130"/>
      <c r="E39" s="130"/>
      <c r="F39" s="130"/>
      <c r="G39" s="130"/>
      <c r="H39" s="130"/>
      <c r="I39" s="130"/>
      <c r="J39" s="130"/>
      <c r="K39" s="193"/>
      <c r="L39" s="57"/>
      <c r="M39" s="148" t="s">
        <v>42</v>
      </c>
    </row>
    <row r="40" spans="1:15">
      <c r="A40" s="345"/>
      <c r="B40" s="345"/>
      <c r="C40" s="133"/>
      <c r="D40" s="133"/>
      <c r="E40" s="291" t="str">
        <f>'JOB ESTIMATE'!E43</f>
        <v>Sundries</v>
      </c>
      <c r="F40" s="291"/>
      <c r="G40" s="291"/>
      <c r="H40" s="127"/>
      <c r="I40" s="239">
        <f>'JOB ESTIMATE'!I43</f>
        <v>0</v>
      </c>
      <c r="J40" s="133"/>
      <c r="K40" s="155">
        <f>'JOB ESTIMATE'!K43</f>
        <v>0</v>
      </c>
      <c r="L40" s="147"/>
      <c r="M40" s="149">
        <f>K40</f>
        <v>0</v>
      </c>
    </row>
    <row r="41" spans="1:15">
      <c r="A41" s="345"/>
      <c r="B41" s="345"/>
      <c r="C41" s="133"/>
      <c r="D41" s="133"/>
      <c r="E41" s="291">
        <v>0</v>
      </c>
      <c r="F41" s="291"/>
      <c r="G41" s="291"/>
      <c r="H41" s="127"/>
      <c r="I41" s="133">
        <v>0</v>
      </c>
      <c r="J41" s="133"/>
      <c r="K41" s="155">
        <f>'JOB ESTIMATE'!K44</f>
        <v>0</v>
      </c>
      <c r="L41" s="147"/>
      <c r="M41" s="149">
        <f>K41</f>
        <v>0</v>
      </c>
    </row>
    <row r="42" spans="1:15">
      <c r="A42" s="345" t="s">
        <v>350</v>
      </c>
      <c r="B42" s="345"/>
      <c r="C42" s="133"/>
      <c r="D42" s="133"/>
      <c r="E42" s="291">
        <f>'JOB ESTIMATE'!E45</f>
        <v>0</v>
      </c>
      <c r="F42" s="291"/>
      <c r="G42" s="291"/>
      <c r="H42" s="127"/>
      <c r="I42" s="133">
        <f>'JOB ESTIMATE'!I45</f>
        <v>0</v>
      </c>
      <c r="J42" s="133"/>
      <c r="K42" s="155">
        <f>'JOB ESTIMATE'!K45</f>
        <v>0</v>
      </c>
      <c r="L42" s="147"/>
      <c r="M42" s="149">
        <f t="shared" ref="M42:M43" si="3">K42</f>
        <v>0</v>
      </c>
    </row>
    <row r="43" spans="1:15">
      <c r="A43" s="345"/>
      <c r="B43" s="345"/>
      <c r="C43" s="133"/>
      <c r="D43" s="133"/>
      <c r="E43" s="291">
        <f>'JOB ESTIMATE'!E46</f>
        <v>0</v>
      </c>
      <c r="F43" s="291"/>
      <c r="G43" s="291"/>
      <c r="H43" s="127"/>
      <c r="I43" s="133">
        <f>'JOB ESTIMATE'!I46</f>
        <v>0</v>
      </c>
      <c r="J43" s="133"/>
      <c r="K43" s="155">
        <f>'JOB ESTIMATE'!K46</f>
        <v>0</v>
      </c>
      <c r="L43" s="147"/>
      <c r="M43" s="149">
        <f t="shared" si="3"/>
        <v>0</v>
      </c>
    </row>
    <row r="44" spans="1:15">
      <c r="A44" s="345"/>
      <c r="B44" s="345"/>
      <c r="C44" s="133"/>
      <c r="D44" s="133"/>
      <c r="E44" s="291">
        <f>'JOB ESTIMATE'!E47</f>
        <v>0</v>
      </c>
      <c r="F44" s="291"/>
      <c r="G44" s="291"/>
      <c r="H44" s="127"/>
      <c r="I44" s="133">
        <f>'JOB ESTIMATE'!I47</f>
        <v>0</v>
      </c>
      <c r="J44" s="133"/>
      <c r="K44" s="155">
        <f>'JOB ESTIMATE'!K47</f>
        <v>0</v>
      </c>
      <c r="L44" s="147"/>
      <c r="M44" s="149">
        <f>K44</f>
        <v>0</v>
      </c>
    </row>
    <row r="45" spans="1:15">
      <c r="A45" s="345"/>
      <c r="B45" s="345"/>
      <c r="C45" s="133"/>
      <c r="D45" s="133"/>
      <c r="E45" s="291">
        <f>'JOB ESTIMATE'!E48</f>
        <v>0</v>
      </c>
      <c r="F45" s="291"/>
      <c r="G45" s="291"/>
      <c r="H45" s="127"/>
      <c r="I45" s="133">
        <f>'JOB ESTIMATE'!I48</f>
        <v>0</v>
      </c>
      <c r="J45" s="133"/>
      <c r="K45" s="155">
        <f>'JOB ESTIMATE'!K48</f>
        <v>0</v>
      </c>
      <c r="L45" s="147"/>
      <c r="M45" s="149">
        <f>K45</f>
        <v>0</v>
      </c>
    </row>
    <row r="46" spans="1:15">
      <c r="A46" s="128"/>
      <c r="B46" s="128"/>
      <c r="C46" s="133"/>
      <c r="D46" s="133"/>
      <c r="E46" s="291">
        <f>'JOB ESTIMATE'!E49</f>
        <v>0</v>
      </c>
      <c r="F46" s="291"/>
      <c r="G46" s="291"/>
      <c r="H46" s="127"/>
      <c r="I46" s="133">
        <f>'JOB ESTIMATE'!I50</f>
        <v>0</v>
      </c>
      <c r="J46" s="133"/>
      <c r="K46" s="155">
        <f>'JOB ESTIMATE'!K49</f>
        <v>0</v>
      </c>
      <c r="L46" s="147"/>
      <c r="M46" s="149">
        <f>K46</f>
        <v>0</v>
      </c>
    </row>
    <row r="47" spans="1:15">
      <c r="A47" s="134" t="s">
        <v>51</v>
      </c>
      <c r="B47" s="133"/>
      <c r="C47" s="133"/>
      <c r="D47" s="133"/>
      <c r="E47" s="133"/>
      <c r="F47" s="133"/>
      <c r="G47" s="133"/>
      <c r="H47" s="133"/>
      <c r="I47" s="133"/>
      <c r="J47" s="133"/>
      <c r="K47" s="147"/>
      <c r="L47" s="147"/>
      <c r="M47" s="149">
        <f t="shared" ref="M47" si="4">K47*I47</f>
        <v>0</v>
      </c>
    </row>
    <row r="48" spans="1:15">
      <c r="A48" s="134"/>
      <c r="B48" s="133"/>
      <c r="C48" s="133"/>
      <c r="D48" s="133"/>
      <c r="E48" s="133"/>
      <c r="F48" s="133"/>
      <c r="G48" s="133"/>
      <c r="H48" s="133"/>
      <c r="I48" s="133"/>
      <c r="J48" s="133"/>
      <c r="K48" s="147"/>
      <c r="L48" s="147"/>
      <c r="M48" s="149"/>
    </row>
    <row r="49" spans="1:13">
      <c r="A49" s="57"/>
      <c r="B49" s="133"/>
      <c r="C49" s="133"/>
      <c r="D49" s="133"/>
      <c r="E49" s="133"/>
      <c r="F49" s="133"/>
      <c r="G49" s="133"/>
      <c r="H49" s="133"/>
      <c r="I49" s="133"/>
      <c r="J49" s="133"/>
      <c r="K49" s="147"/>
      <c r="L49" s="147"/>
      <c r="M49" s="149"/>
    </row>
    <row r="50" spans="1:13">
      <c r="A50" s="340" t="s">
        <v>52</v>
      </c>
      <c r="B50" s="340"/>
      <c r="C50" s="340"/>
      <c r="D50" s="340"/>
      <c r="E50" s="340"/>
      <c r="F50" s="340"/>
      <c r="G50" s="340"/>
      <c r="H50" s="340"/>
      <c r="I50" s="340"/>
      <c r="J50" s="340"/>
      <c r="K50" s="340"/>
      <c r="L50" s="156"/>
      <c r="M50" s="157">
        <f>SUM(M19:M49)</f>
        <v>0</v>
      </c>
    </row>
    <row r="51" spans="1:13">
      <c r="A51" s="341"/>
      <c r="B51" s="341"/>
      <c r="C51" s="341"/>
      <c r="D51" s="341"/>
      <c r="E51" s="341"/>
      <c r="F51" s="341"/>
      <c r="G51" s="341"/>
      <c r="H51" s="341"/>
      <c r="I51" s="341"/>
      <c r="J51" s="341"/>
      <c r="K51" s="341"/>
      <c r="L51" s="341"/>
      <c r="M51" s="341"/>
    </row>
    <row r="52" spans="1:13">
      <c r="A52" s="161"/>
      <c r="B52" s="161"/>
      <c r="C52" s="161"/>
      <c r="D52" s="161"/>
      <c r="E52" s="161"/>
      <c r="F52" s="161"/>
      <c r="G52" s="161"/>
      <c r="H52" s="161"/>
      <c r="I52" s="161"/>
      <c r="J52" s="161"/>
      <c r="K52" s="161" t="s">
        <v>53</v>
      </c>
      <c r="L52" s="161"/>
      <c r="M52" s="162">
        <f>'JOB ESTIMATE'!M55</f>
        <v>0</v>
      </c>
    </row>
    <row r="53" spans="1:13">
      <c r="A53" s="161"/>
      <c r="B53" s="161"/>
      <c r="C53" s="161"/>
      <c r="D53" s="161"/>
      <c r="E53" s="161"/>
      <c r="F53" s="161"/>
      <c r="G53" s="161"/>
      <c r="H53" s="161"/>
      <c r="I53" s="161"/>
      <c r="J53" s="161"/>
      <c r="K53" s="194" t="s">
        <v>54</v>
      </c>
      <c r="L53" s="161"/>
      <c r="M53" s="162">
        <f>M50+M52</f>
        <v>0</v>
      </c>
    </row>
    <row r="54" spans="1:13">
      <c r="A54" s="161"/>
      <c r="B54" s="161"/>
      <c r="C54" s="161"/>
      <c r="D54" s="161"/>
      <c r="E54" s="161"/>
      <c r="F54" s="161"/>
      <c r="G54" s="161"/>
      <c r="H54" s="161"/>
      <c r="I54" s="161"/>
      <c r="J54" s="161"/>
      <c r="K54" s="161" t="s">
        <v>55</v>
      </c>
      <c r="L54" s="161"/>
      <c r="M54" s="162">
        <f>'JOB ESTIMATE'!M57</f>
        <v>0</v>
      </c>
    </row>
    <row r="55" spans="1:13" ht="21">
      <c r="A55" s="161"/>
      <c r="B55" s="161"/>
      <c r="C55" s="161"/>
      <c r="D55" s="161"/>
      <c r="E55" s="161"/>
      <c r="F55" s="161"/>
      <c r="G55" s="161"/>
      <c r="H55" s="161"/>
      <c r="I55" s="161"/>
      <c r="J55" s="161"/>
      <c r="K55" s="163" t="s">
        <v>56</v>
      </c>
      <c r="L55" s="195"/>
      <c r="M55" s="196">
        <f>M53-M54</f>
        <v>0</v>
      </c>
    </row>
    <row r="56" spans="1:13" ht="13.5" customHeight="1">
      <c r="A56" s="176"/>
      <c r="B56" s="176"/>
      <c r="C56" s="177"/>
      <c r="D56" s="177"/>
      <c r="E56" s="177"/>
      <c r="F56" s="177"/>
      <c r="G56" s="177"/>
      <c r="H56" s="177"/>
      <c r="I56" s="177"/>
      <c r="J56" s="177"/>
      <c r="K56" s="176"/>
      <c r="L56" s="176"/>
      <c r="M56" s="176"/>
    </row>
    <row r="57" spans="1:13" ht="9.75" customHeight="1">
      <c r="A57" s="349" t="s">
        <v>57</v>
      </c>
      <c r="B57" s="350"/>
      <c r="C57" s="350"/>
      <c r="D57" s="350"/>
      <c r="E57" s="350"/>
      <c r="F57" s="350"/>
      <c r="G57" s="350"/>
      <c r="H57" s="350"/>
      <c r="I57" s="350"/>
      <c r="J57" s="350"/>
      <c r="K57" s="350"/>
      <c r="L57" s="350"/>
      <c r="M57" s="351"/>
    </row>
    <row r="58" spans="1:13" ht="48" customHeight="1">
      <c r="A58" s="352"/>
      <c r="B58" s="289"/>
      <c r="C58" s="289"/>
      <c r="D58" s="289"/>
      <c r="E58" s="289"/>
      <c r="F58" s="289"/>
      <c r="G58" s="289"/>
      <c r="H58" s="289"/>
      <c r="I58" s="289"/>
      <c r="J58" s="289"/>
      <c r="K58" s="289"/>
      <c r="L58" s="289"/>
      <c r="M58" s="353"/>
    </row>
    <row r="59" spans="1:13" ht="9" customHeight="1">
      <c r="A59" s="179"/>
      <c r="B59" s="180"/>
      <c r="C59" s="180"/>
      <c r="D59" s="181"/>
      <c r="E59" s="181"/>
      <c r="F59" s="181"/>
      <c r="G59" s="181"/>
      <c r="H59" s="181"/>
      <c r="I59" s="181"/>
      <c r="J59" s="181"/>
      <c r="K59" s="181"/>
      <c r="L59" s="181"/>
      <c r="M59" s="197"/>
    </row>
    <row r="60" spans="1:13" ht="15" customHeight="1">
      <c r="A60" s="342" t="s">
        <v>58</v>
      </c>
      <c r="B60" s="343"/>
      <c r="C60" s="343"/>
      <c r="D60" s="343"/>
      <c r="E60" s="343"/>
      <c r="F60" s="343"/>
      <c r="G60" s="343"/>
      <c r="H60" s="343"/>
      <c r="I60" s="343"/>
      <c r="J60" s="343"/>
      <c r="K60" s="343"/>
      <c r="L60" s="343"/>
      <c r="M60" s="344"/>
    </row>
    <row r="61" spans="1:13" ht="19.5" customHeight="1">
      <c r="A61" s="179"/>
      <c r="B61" s="180"/>
      <c r="C61" s="198"/>
      <c r="D61" s="199"/>
      <c r="E61" s="199"/>
      <c r="F61" s="199"/>
      <c r="G61" s="199"/>
      <c r="H61" s="161"/>
      <c r="I61" s="199"/>
      <c r="J61" s="199"/>
      <c r="K61" s="199"/>
      <c r="L61" s="199"/>
      <c r="M61" s="202"/>
    </row>
    <row r="62" spans="1:13" ht="21">
      <c r="A62" s="200"/>
      <c r="B62" s="176"/>
      <c r="C62" s="348" t="s">
        <v>36</v>
      </c>
      <c r="D62" s="348"/>
      <c r="E62" s="348"/>
      <c r="F62" s="348"/>
      <c r="G62" s="348"/>
      <c r="H62" s="199"/>
      <c r="I62" s="348" t="s">
        <v>59</v>
      </c>
      <c r="J62" s="348"/>
      <c r="K62" s="348"/>
      <c r="L62" s="348"/>
      <c r="M62" s="203"/>
    </row>
    <row r="63" spans="1:13" ht="15.75">
      <c r="A63" s="201" t="s">
        <v>60</v>
      </c>
      <c r="B63" s="101"/>
      <c r="C63" s="101"/>
      <c r="D63" s="101"/>
      <c r="E63" s="101"/>
      <c r="F63" s="101"/>
      <c r="G63" s="101"/>
      <c r="H63" s="101"/>
      <c r="I63" s="101"/>
      <c r="J63" s="101"/>
      <c r="K63" s="101"/>
      <c r="L63" s="101"/>
      <c r="M63" s="204"/>
    </row>
    <row r="64" spans="1:13">
      <c r="A64" s="101"/>
      <c r="B64" s="101"/>
      <c r="C64" s="101"/>
      <c r="D64" s="101"/>
      <c r="E64" s="101"/>
      <c r="F64" s="101"/>
      <c r="G64" s="101"/>
      <c r="H64" s="101"/>
      <c r="I64" s="101"/>
      <c r="J64" s="101"/>
      <c r="K64" s="101"/>
      <c r="L64" s="101"/>
      <c r="M64" s="101"/>
    </row>
    <row r="65" spans="1:13">
      <c r="A65" s="101"/>
      <c r="B65" s="101"/>
      <c r="C65" s="101"/>
      <c r="D65" s="101"/>
      <c r="E65" s="101"/>
      <c r="F65" s="101"/>
      <c r="G65" s="101"/>
      <c r="H65" s="101"/>
      <c r="I65" s="101"/>
      <c r="J65" s="101"/>
      <c r="K65" s="101"/>
      <c r="L65" s="101"/>
      <c r="M65" s="101"/>
    </row>
    <row r="66" spans="1:13">
      <c r="A66" s="101"/>
      <c r="B66" s="101"/>
      <c r="C66" s="101"/>
      <c r="D66" s="101"/>
      <c r="E66" s="101"/>
      <c r="F66" s="101"/>
      <c r="G66" s="101"/>
      <c r="H66" s="101"/>
      <c r="I66" s="101"/>
      <c r="J66" s="101"/>
      <c r="K66" s="101"/>
      <c r="L66" s="101"/>
      <c r="M66" s="101"/>
    </row>
    <row r="67" spans="1:13">
      <c r="A67" s="101"/>
      <c r="B67" s="101"/>
      <c r="C67" s="101"/>
      <c r="D67" s="101"/>
      <c r="E67" s="101"/>
      <c r="F67" s="101"/>
      <c r="G67" s="101"/>
      <c r="H67" s="101"/>
      <c r="I67" s="101"/>
      <c r="J67" s="101"/>
      <c r="K67" s="101"/>
      <c r="L67" s="101"/>
      <c r="M67" s="101"/>
    </row>
  </sheetData>
  <mergeCells count="86">
    <mergeCell ref="I1:M1"/>
    <mergeCell ref="I2:M2"/>
    <mergeCell ref="I3:M3"/>
    <mergeCell ref="A6:M6"/>
    <mergeCell ref="A7:J7"/>
    <mergeCell ref="K7:L7"/>
    <mergeCell ref="H8:J8"/>
    <mergeCell ref="K8:L8"/>
    <mergeCell ref="A8:B8"/>
    <mergeCell ref="C8:F8"/>
    <mergeCell ref="F17:G17"/>
    <mergeCell ref="H17:J17"/>
    <mergeCell ref="K17:L17"/>
    <mergeCell ref="A16:B16"/>
    <mergeCell ref="K10:L10"/>
    <mergeCell ref="A11:B11"/>
    <mergeCell ref="K11:L11"/>
    <mergeCell ref="A9:B10"/>
    <mergeCell ref="C9:F11"/>
    <mergeCell ref="H10:J10"/>
    <mergeCell ref="H11:J13"/>
    <mergeCell ref="H9:J9"/>
    <mergeCell ref="C62:G62"/>
    <mergeCell ref="I62:L62"/>
    <mergeCell ref="A57:M58"/>
    <mergeCell ref="A41:B41"/>
    <mergeCell ref="A42:B42"/>
    <mergeCell ref="A43:B43"/>
    <mergeCell ref="A44:B44"/>
    <mergeCell ref="A45:B45"/>
    <mergeCell ref="E44:G44"/>
    <mergeCell ref="E45:G45"/>
    <mergeCell ref="E46:G46"/>
    <mergeCell ref="K9:L9"/>
    <mergeCell ref="A50:K50"/>
    <mergeCell ref="A51:M51"/>
    <mergeCell ref="A60:M60"/>
    <mergeCell ref="A35:B35"/>
    <mergeCell ref="A36:B36"/>
    <mergeCell ref="A37:B37"/>
    <mergeCell ref="A38:B38"/>
    <mergeCell ref="A40:B40"/>
    <mergeCell ref="A31:B31"/>
    <mergeCell ref="I31:J31"/>
    <mergeCell ref="A32:B32"/>
    <mergeCell ref="A33:B33"/>
    <mergeCell ref="A34:B34"/>
    <mergeCell ref="C17:E17"/>
    <mergeCell ref="A14:B14"/>
    <mergeCell ref="A15:B15"/>
    <mergeCell ref="A12:B12"/>
    <mergeCell ref="K12:L12"/>
    <mergeCell ref="A13:B13"/>
    <mergeCell ref="K13:L13"/>
    <mergeCell ref="C12:F14"/>
    <mergeCell ref="H14:J14"/>
    <mergeCell ref="K14:L14"/>
    <mergeCell ref="H15:J16"/>
    <mergeCell ref="K15:L16"/>
    <mergeCell ref="C16:D16"/>
    <mergeCell ref="A18:B18"/>
    <mergeCell ref="C18:E18"/>
    <mergeCell ref="F18:G18"/>
    <mergeCell ref="H18:J18"/>
    <mergeCell ref="K18:L18"/>
    <mergeCell ref="E20:G20"/>
    <mergeCell ref="E21:G21"/>
    <mergeCell ref="E22:G22"/>
    <mergeCell ref="E23:G23"/>
    <mergeCell ref="E24:G24"/>
    <mergeCell ref="E25:G25"/>
    <mergeCell ref="E26:G26"/>
    <mergeCell ref="E27:G27"/>
    <mergeCell ref="E28:G28"/>
    <mergeCell ref="E29:G29"/>
    <mergeCell ref="E30:G30"/>
    <mergeCell ref="E32:G32"/>
    <mergeCell ref="E33:G33"/>
    <mergeCell ref="E34:G34"/>
    <mergeCell ref="E35:G35"/>
    <mergeCell ref="E36:G36"/>
    <mergeCell ref="E37:G37"/>
    <mergeCell ref="E41:G41"/>
    <mergeCell ref="E42:G42"/>
    <mergeCell ref="E43:G43"/>
    <mergeCell ref="E40:G40"/>
  </mergeCells>
  <printOptions horizontalCentered="1"/>
  <pageMargins left="0" right="0" top="0" bottom="0" header="0" footer="0"/>
  <pageSetup scale="7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9"/>
  <sheetViews>
    <sheetView tabSelected="1" view="pageLayout" zoomScaleNormal="100" workbookViewId="0">
      <selection activeCell="E20" sqref="E20:G21"/>
    </sheetView>
  </sheetViews>
  <sheetFormatPr defaultColWidth="9.140625" defaultRowHeight="15"/>
  <cols>
    <col min="1" max="1" width="9.5703125" style="101" customWidth="1"/>
    <col min="2" max="2" width="9.140625" style="101"/>
    <col min="3" max="3" width="6.140625" style="101" customWidth="1"/>
    <col min="4" max="4" width="11" style="101" customWidth="1"/>
    <col min="5" max="5" width="9.140625" style="101"/>
    <col min="6" max="6" width="6" style="101" customWidth="1"/>
    <col min="7" max="7" width="18.140625" style="101" customWidth="1"/>
    <col min="8" max="8" width="13.140625" style="101" customWidth="1"/>
    <col min="9" max="9" width="5.5703125" style="101" customWidth="1"/>
    <col min="10" max="10" width="4.85546875" style="101" customWidth="1"/>
    <col min="11" max="11" width="12.140625" style="101" customWidth="1"/>
    <col min="12" max="12" width="11.5703125" style="101" customWidth="1"/>
    <col min="13" max="13" width="15.5703125" style="101" customWidth="1"/>
    <col min="14" max="14" width="18" style="101" customWidth="1"/>
    <col min="15" max="15" width="13.7109375" style="101" customWidth="1"/>
    <col min="16" max="16384" width="9.140625" style="101"/>
  </cols>
  <sheetData>
    <row r="1" spans="1:15">
      <c r="A1" s="103"/>
      <c r="B1" s="103"/>
      <c r="C1" s="103"/>
      <c r="D1" s="103"/>
      <c r="E1" s="103"/>
      <c r="F1" s="103"/>
      <c r="G1" s="103"/>
      <c r="H1" s="103"/>
      <c r="I1" s="311" t="s">
        <v>0</v>
      </c>
      <c r="J1" s="311"/>
      <c r="K1" s="311"/>
      <c r="L1" s="311"/>
      <c r="M1" s="311"/>
    </row>
    <row r="2" spans="1:15" ht="19.5">
      <c r="A2" s="104"/>
      <c r="B2" s="104"/>
      <c r="C2" s="104"/>
      <c r="D2" s="104"/>
      <c r="E2" s="104"/>
      <c r="F2" s="104"/>
      <c r="G2" s="102"/>
      <c r="H2" s="105"/>
      <c r="I2" s="311" t="s">
        <v>1</v>
      </c>
      <c r="J2" s="311"/>
      <c r="K2" s="311"/>
      <c r="L2" s="311"/>
      <c r="M2" s="311"/>
    </row>
    <row r="3" spans="1:15" ht="15.75">
      <c r="A3" s="106"/>
      <c r="B3" s="107"/>
      <c r="C3" s="107"/>
      <c r="D3" s="107"/>
      <c r="E3" s="107"/>
      <c r="F3" s="107"/>
      <c r="G3" s="107"/>
      <c r="H3" s="107"/>
      <c r="I3" s="311" t="s">
        <v>38</v>
      </c>
      <c r="J3" s="311"/>
      <c r="K3" s="311"/>
      <c r="L3" s="311"/>
      <c r="M3" s="311"/>
    </row>
    <row r="4" spans="1:15">
      <c r="A4" s="108"/>
      <c r="B4" s="107"/>
      <c r="C4" s="107"/>
      <c r="D4" s="107"/>
      <c r="E4" s="107"/>
      <c r="F4" s="107"/>
      <c r="G4" s="107"/>
      <c r="H4" s="107"/>
      <c r="I4" s="139"/>
      <c r="J4" s="139"/>
      <c r="K4" s="139"/>
      <c r="L4" s="139"/>
      <c r="M4" s="139"/>
    </row>
    <row r="5" spans="1:15">
      <c r="A5" s="109"/>
      <c r="B5" s="107"/>
      <c r="C5" s="107"/>
      <c r="D5" s="107"/>
      <c r="E5" s="107"/>
      <c r="F5" s="107"/>
      <c r="G5" s="107"/>
      <c r="H5" s="107"/>
      <c r="I5" s="107"/>
      <c r="J5" s="107"/>
      <c r="K5" s="107"/>
      <c r="L5" s="107"/>
      <c r="M5" s="107"/>
    </row>
    <row r="6" spans="1:15" ht="21.75">
      <c r="A6" s="388" t="s">
        <v>61</v>
      </c>
      <c r="B6" s="388"/>
      <c r="C6" s="388"/>
      <c r="D6" s="388"/>
      <c r="E6" s="388"/>
      <c r="F6" s="388"/>
      <c r="G6" s="388"/>
      <c r="H6" s="388"/>
      <c r="I6" s="388"/>
      <c r="J6" s="388"/>
      <c r="K6" s="388"/>
      <c r="L6" s="388"/>
      <c r="M6" s="388"/>
    </row>
    <row r="7" spans="1:15" ht="15.75">
      <c r="A7" s="314" t="s">
        <v>4</v>
      </c>
      <c r="B7" s="315"/>
      <c r="C7" s="315"/>
      <c r="D7" s="315"/>
      <c r="E7" s="315"/>
      <c r="F7" s="315"/>
      <c r="G7" s="315"/>
      <c r="H7" s="315"/>
      <c r="I7" s="315"/>
      <c r="J7" s="315"/>
      <c r="K7" s="316" t="s">
        <v>62</v>
      </c>
      <c r="L7" s="316"/>
      <c r="M7" s="140"/>
    </row>
    <row r="8" spans="1:15" ht="15" customHeight="1">
      <c r="A8" s="325" t="s">
        <v>5</v>
      </c>
      <c r="B8" s="326"/>
      <c r="C8" s="354" t="s">
        <v>6</v>
      </c>
      <c r="D8" s="355"/>
      <c r="E8" s="355"/>
      <c r="F8" s="356"/>
      <c r="G8" s="225" t="s">
        <v>7</v>
      </c>
      <c r="H8" s="329" t="s">
        <v>8</v>
      </c>
      <c r="I8" s="334"/>
      <c r="J8" s="330"/>
      <c r="K8" s="329" t="s">
        <v>9</v>
      </c>
      <c r="L8" s="330"/>
      <c r="M8" s="218" t="s">
        <v>10</v>
      </c>
    </row>
    <row r="9" spans="1:15" ht="15" customHeight="1">
      <c r="A9" s="366"/>
      <c r="B9" s="367"/>
      <c r="C9" s="370"/>
      <c r="D9" s="371"/>
      <c r="E9" s="371"/>
      <c r="F9" s="372"/>
      <c r="G9" s="226"/>
      <c r="H9" s="331" t="s">
        <v>353</v>
      </c>
      <c r="I9" s="338"/>
      <c r="J9" s="332"/>
      <c r="K9" s="331"/>
      <c r="L9" s="338"/>
      <c r="M9" s="219" t="s">
        <v>11</v>
      </c>
    </row>
    <row r="10" spans="1:15" ht="15.75" customHeight="1">
      <c r="A10" s="368"/>
      <c r="B10" s="369"/>
      <c r="C10" s="370"/>
      <c r="D10" s="371"/>
      <c r="E10" s="371"/>
      <c r="F10" s="372"/>
      <c r="G10" s="227" t="s">
        <v>12</v>
      </c>
      <c r="H10" s="329" t="s">
        <v>13</v>
      </c>
      <c r="I10" s="334"/>
      <c r="J10" s="330"/>
      <c r="K10" s="329" t="s">
        <v>14</v>
      </c>
      <c r="L10" s="330"/>
      <c r="M10" s="220"/>
    </row>
    <row r="11" spans="1:15" ht="15" customHeight="1">
      <c r="A11" s="362" t="s">
        <v>40</v>
      </c>
      <c r="B11" s="363"/>
      <c r="C11" s="370"/>
      <c r="D11" s="371"/>
      <c r="E11" s="371"/>
      <c r="F11" s="372"/>
      <c r="G11" s="228"/>
      <c r="H11" s="373"/>
      <c r="I11" s="333"/>
      <c r="J11" s="374"/>
      <c r="K11" s="364"/>
      <c r="L11" s="365"/>
      <c r="M11" s="220" t="s">
        <v>15</v>
      </c>
    </row>
    <row r="12" spans="1:15" ht="15" customHeight="1">
      <c r="A12" s="327" t="s">
        <v>350</v>
      </c>
      <c r="B12" s="328"/>
      <c r="C12" s="333"/>
      <c r="D12" s="333"/>
      <c r="E12" s="333"/>
      <c r="F12" s="333"/>
      <c r="G12" s="229" t="s">
        <v>16</v>
      </c>
      <c r="H12" s="373"/>
      <c r="I12" s="333"/>
      <c r="J12" s="374"/>
      <c r="K12" s="329" t="s">
        <v>17</v>
      </c>
      <c r="L12" s="330"/>
      <c r="M12" s="221"/>
      <c r="N12" s="141">
        <f>SUM(M21:M26)</f>
        <v>0</v>
      </c>
      <c r="O12" s="101" t="s">
        <v>43</v>
      </c>
    </row>
    <row r="13" spans="1:15">
      <c r="A13" s="325" t="s">
        <v>18</v>
      </c>
      <c r="B13" s="326"/>
      <c r="C13" s="333"/>
      <c r="D13" s="333"/>
      <c r="E13" s="333"/>
      <c r="F13" s="333"/>
      <c r="G13" s="230"/>
      <c r="H13" s="375"/>
      <c r="I13" s="376"/>
      <c r="J13" s="377"/>
      <c r="K13" s="331"/>
      <c r="L13" s="332"/>
      <c r="M13" s="220" t="s">
        <v>19</v>
      </c>
      <c r="N13" s="141">
        <f>SUM(M34:M40)</f>
        <v>0</v>
      </c>
      <c r="O13" s="101" t="s">
        <v>44</v>
      </c>
    </row>
    <row r="14" spans="1:15" ht="15.75">
      <c r="A14" s="389"/>
      <c r="B14" s="328"/>
      <c r="C14" s="333"/>
      <c r="D14" s="333"/>
      <c r="E14" s="333"/>
      <c r="F14" s="333"/>
      <c r="G14" s="231"/>
      <c r="H14" s="329" t="s">
        <v>20</v>
      </c>
      <c r="I14" s="334"/>
      <c r="J14" s="330"/>
      <c r="K14" s="329" t="s">
        <v>21</v>
      </c>
      <c r="L14" s="330"/>
      <c r="M14" s="222"/>
      <c r="N14" s="141">
        <f>SUM(M44:M50)</f>
        <v>0</v>
      </c>
      <c r="O14" s="101" t="s">
        <v>45</v>
      </c>
    </row>
    <row r="15" spans="1:15" ht="15.75" customHeight="1">
      <c r="A15" s="325" t="s">
        <v>351</v>
      </c>
      <c r="B15" s="326"/>
      <c r="C15" s="232" t="s">
        <v>23</v>
      </c>
      <c r="D15" s="225"/>
      <c r="E15" s="232" t="s">
        <v>24</v>
      </c>
      <c r="F15" s="233"/>
      <c r="G15" s="229" t="s">
        <v>25</v>
      </c>
      <c r="H15" s="335"/>
      <c r="I15" s="336"/>
      <c r="J15" s="337"/>
      <c r="K15" s="335"/>
      <c r="L15" s="337"/>
      <c r="M15" s="220" t="s">
        <v>26</v>
      </c>
      <c r="N15" s="141">
        <f>SUM(N12:N14)</f>
        <v>0</v>
      </c>
      <c r="O15" s="142" t="s">
        <v>46</v>
      </c>
    </row>
    <row r="16" spans="1:15" ht="15" customHeight="1">
      <c r="A16" s="360"/>
      <c r="B16" s="361"/>
      <c r="C16" s="339"/>
      <c r="D16" s="328"/>
      <c r="E16" s="234"/>
      <c r="F16" s="235"/>
      <c r="G16" s="236"/>
      <c r="H16" s="331"/>
      <c r="I16" s="338"/>
      <c r="J16" s="332"/>
      <c r="K16" s="331"/>
      <c r="L16" s="332"/>
      <c r="M16" s="223"/>
    </row>
    <row r="17" spans="1:13" ht="15.75" customHeight="1">
      <c r="A17" s="237" t="s">
        <v>27</v>
      </c>
      <c r="B17" s="238"/>
      <c r="C17" s="329" t="s">
        <v>28</v>
      </c>
      <c r="D17" s="334"/>
      <c r="E17" s="330"/>
      <c r="F17" s="357" t="s">
        <v>352</v>
      </c>
      <c r="G17" s="358"/>
      <c r="H17" s="359" t="s">
        <v>29</v>
      </c>
      <c r="I17" s="359"/>
      <c r="J17" s="359"/>
      <c r="K17" s="329" t="s">
        <v>30</v>
      </c>
      <c r="L17" s="330"/>
      <c r="M17" s="223"/>
    </row>
    <row r="18" spans="1:13" ht="15" customHeight="1" thickBot="1">
      <c r="A18" s="317"/>
      <c r="B18" s="318"/>
      <c r="C18" s="384"/>
      <c r="D18" s="385"/>
      <c r="E18" s="386"/>
      <c r="F18" s="321"/>
      <c r="G18" s="322"/>
      <c r="H18" s="299"/>
      <c r="I18" s="299"/>
      <c r="J18" s="299"/>
      <c r="K18" s="323"/>
      <c r="L18" s="324"/>
      <c r="M18" s="224"/>
    </row>
    <row r="19" spans="1:13" ht="15.75">
      <c r="A19" s="123" t="s">
        <v>31</v>
      </c>
      <c r="B19" s="123"/>
      <c r="C19" s="123"/>
      <c r="D19" s="240"/>
      <c r="E19" s="124"/>
      <c r="F19" s="125" t="s">
        <v>33</v>
      </c>
      <c r="G19" s="125"/>
      <c r="H19" s="125"/>
      <c r="I19" s="124"/>
      <c r="J19" s="57"/>
      <c r="K19" s="123" t="s">
        <v>41</v>
      </c>
      <c r="L19" s="57"/>
      <c r="M19" s="123" t="s">
        <v>42</v>
      </c>
    </row>
    <row r="20" spans="1:13" ht="15.75">
      <c r="A20" s="123"/>
      <c r="B20" s="123"/>
      <c r="C20" s="123"/>
      <c r="D20" s="240"/>
      <c r="E20" s="383"/>
      <c r="F20" s="383"/>
      <c r="G20" s="383"/>
      <c r="H20" s="126"/>
      <c r="I20" s="382"/>
      <c r="J20" s="382"/>
      <c r="K20" s="145"/>
      <c r="L20" s="144"/>
      <c r="M20" s="146"/>
    </row>
    <row r="21" spans="1:13">
      <c r="A21" s="64"/>
      <c r="B21" s="64"/>
      <c r="C21" s="57"/>
      <c r="D21" s="241"/>
      <c r="E21" s="383"/>
      <c r="F21" s="383"/>
      <c r="G21" s="383"/>
      <c r="H21" s="126"/>
      <c r="I21" s="382"/>
      <c r="J21" s="382"/>
      <c r="K21" s="147"/>
      <c r="L21" s="144"/>
      <c r="M21" s="146"/>
    </row>
    <row r="22" spans="1:13">
      <c r="A22" s="64"/>
      <c r="B22" s="64"/>
      <c r="C22" s="57"/>
      <c r="D22" s="241"/>
      <c r="E22" s="383"/>
      <c r="F22" s="383"/>
      <c r="G22" s="383"/>
      <c r="H22" s="126"/>
      <c r="I22" s="382"/>
      <c r="J22" s="382"/>
      <c r="K22" s="147"/>
      <c r="L22" s="144"/>
      <c r="M22" s="146"/>
    </row>
    <row r="23" spans="1:13">
      <c r="A23" s="64"/>
      <c r="B23" s="64"/>
      <c r="C23" s="57"/>
      <c r="D23" s="241"/>
      <c r="E23" s="383"/>
      <c r="F23" s="383"/>
      <c r="G23" s="383"/>
      <c r="H23" s="126"/>
      <c r="I23" s="382"/>
      <c r="J23" s="382"/>
      <c r="K23" s="147"/>
      <c r="L23" s="144"/>
      <c r="M23" s="146">
        <f t="shared" ref="M22:M24" si="0">K23</f>
        <v>0</v>
      </c>
    </row>
    <row r="24" spans="1:13">
      <c r="A24" s="64"/>
      <c r="B24" s="64"/>
      <c r="C24" s="57"/>
      <c r="D24" s="241"/>
      <c r="E24" s="383"/>
      <c r="F24" s="383"/>
      <c r="G24" s="383"/>
      <c r="H24" s="126"/>
      <c r="I24" s="382"/>
      <c r="J24" s="382"/>
      <c r="K24" s="147"/>
      <c r="L24" s="144"/>
      <c r="M24" s="146">
        <f t="shared" si="0"/>
        <v>0</v>
      </c>
    </row>
    <row r="25" spans="1:13">
      <c r="A25" s="64"/>
      <c r="B25" s="64"/>
      <c r="C25" s="57"/>
      <c r="D25" s="241"/>
      <c r="E25" s="291"/>
      <c r="F25" s="291"/>
      <c r="G25" s="291"/>
      <c r="H25" s="127"/>
      <c r="I25" s="380"/>
      <c r="J25" s="380"/>
      <c r="K25" s="147"/>
      <c r="L25" s="57"/>
      <c r="M25" s="146">
        <f t="shared" ref="M25:M30" si="1">K25</f>
        <v>0</v>
      </c>
    </row>
    <row r="26" spans="1:13">
      <c r="A26" s="64"/>
      <c r="B26" s="64"/>
      <c r="C26" s="57"/>
      <c r="D26" s="241"/>
      <c r="E26" s="291"/>
      <c r="F26" s="291"/>
      <c r="G26" s="291"/>
      <c r="H26" s="127"/>
      <c r="I26" s="380"/>
      <c r="J26" s="380"/>
      <c r="K26" s="147"/>
      <c r="L26" s="57"/>
      <c r="M26" s="146">
        <f t="shared" si="1"/>
        <v>0</v>
      </c>
    </row>
    <row r="27" spans="1:13">
      <c r="A27" s="64"/>
      <c r="B27" s="64"/>
      <c r="C27" s="57"/>
      <c r="D27" s="241"/>
      <c r="E27" s="291"/>
      <c r="F27" s="291"/>
      <c r="G27" s="291"/>
      <c r="H27" s="127"/>
      <c r="I27" s="380"/>
      <c r="J27" s="380"/>
      <c r="K27" s="147"/>
      <c r="L27" s="57"/>
      <c r="M27" s="146">
        <f t="shared" si="1"/>
        <v>0</v>
      </c>
    </row>
    <row r="28" spans="1:13">
      <c r="A28" s="64"/>
      <c r="B28" s="64"/>
      <c r="C28" s="57"/>
      <c r="D28" s="241"/>
      <c r="E28" s="291"/>
      <c r="F28" s="291"/>
      <c r="G28" s="291"/>
      <c r="H28" s="127"/>
      <c r="I28" s="380"/>
      <c r="J28" s="380"/>
      <c r="K28" s="147"/>
      <c r="L28" s="57"/>
      <c r="M28" s="146">
        <f t="shared" si="1"/>
        <v>0</v>
      </c>
    </row>
    <row r="29" spans="1:13">
      <c r="A29" s="64"/>
      <c r="B29" s="64"/>
      <c r="C29" s="57"/>
      <c r="D29" s="241"/>
      <c r="E29" s="291"/>
      <c r="F29" s="291"/>
      <c r="G29" s="291"/>
      <c r="H29" s="127"/>
      <c r="I29" s="380"/>
      <c r="J29" s="380"/>
      <c r="K29" s="147"/>
      <c r="L29" s="57"/>
      <c r="M29" s="146">
        <f t="shared" si="1"/>
        <v>0</v>
      </c>
    </row>
    <row r="30" spans="1:13">
      <c r="A30" s="64"/>
      <c r="B30" s="64"/>
      <c r="C30" s="57"/>
      <c r="D30" s="241"/>
      <c r="E30" s="291"/>
      <c r="F30" s="291"/>
      <c r="G30" s="291"/>
      <c r="H30" s="127"/>
      <c r="I30" s="380"/>
      <c r="J30" s="380"/>
      <c r="K30" s="147"/>
      <c r="L30" s="57"/>
      <c r="M30" s="146">
        <f t="shared" si="1"/>
        <v>0</v>
      </c>
    </row>
    <row r="31" spans="1:13">
      <c r="A31" s="64"/>
      <c r="B31" s="64"/>
      <c r="C31" s="57"/>
      <c r="D31" s="241"/>
      <c r="E31" s="291"/>
      <c r="F31" s="291"/>
      <c r="G31" s="291"/>
      <c r="H31" s="127"/>
      <c r="I31" s="380"/>
      <c r="J31" s="380"/>
      <c r="K31" s="147"/>
      <c r="L31" s="57"/>
      <c r="M31" s="146"/>
    </row>
    <row r="32" spans="1:13">
      <c r="A32" s="64"/>
      <c r="B32" s="64"/>
      <c r="C32" s="57"/>
      <c r="D32" s="241"/>
      <c r="E32" s="127"/>
      <c r="F32" s="127"/>
      <c r="G32" s="127"/>
      <c r="H32" s="127"/>
      <c r="I32" s="57"/>
      <c r="J32" s="133"/>
      <c r="K32" s="147"/>
      <c r="L32" s="57"/>
      <c r="M32" s="146"/>
    </row>
    <row r="33" spans="1:15">
      <c r="A33" s="345" t="s">
        <v>47</v>
      </c>
      <c r="B33" s="345"/>
      <c r="C33" s="129"/>
      <c r="D33" s="57"/>
      <c r="E33" s="130" t="s">
        <v>33</v>
      </c>
      <c r="F33" s="57"/>
      <c r="G33" s="130"/>
      <c r="H33" s="130"/>
      <c r="I33" s="346" t="s">
        <v>48</v>
      </c>
      <c r="J33" s="346"/>
      <c r="K33" s="148" t="s">
        <v>49</v>
      </c>
      <c r="L33" s="130"/>
      <c r="M33" s="148" t="s">
        <v>42</v>
      </c>
    </row>
    <row r="34" spans="1:15">
      <c r="A34" s="345"/>
      <c r="B34" s="345"/>
      <c r="C34" s="129"/>
      <c r="D34" s="127"/>
      <c r="E34" s="381"/>
      <c r="F34" s="381"/>
      <c r="G34" s="381"/>
      <c r="H34" s="127"/>
      <c r="I34" s="378"/>
      <c r="J34" s="378"/>
      <c r="K34" s="149"/>
      <c r="L34" s="127"/>
      <c r="M34" s="149">
        <f>K34*I34</f>
        <v>0</v>
      </c>
      <c r="N34" s="150"/>
      <c r="O34" s="151"/>
    </row>
    <row r="35" spans="1:15" s="102" customFormat="1">
      <c r="A35" s="387"/>
      <c r="B35" s="387"/>
      <c r="C35" s="132"/>
      <c r="D35" s="126"/>
      <c r="E35" s="381"/>
      <c r="F35" s="381"/>
      <c r="G35" s="381"/>
      <c r="H35" s="126"/>
      <c r="I35" s="378"/>
      <c r="J35" s="378"/>
      <c r="K35" s="152"/>
      <c r="L35" s="126"/>
      <c r="M35" s="149">
        <f t="shared" ref="M35" si="2">K35*I35</f>
        <v>0</v>
      </c>
      <c r="N35" s="153"/>
      <c r="O35" s="154"/>
    </row>
    <row r="36" spans="1:15" s="102" customFormat="1">
      <c r="A36" s="387"/>
      <c r="B36" s="387"/>
      <c r="C36" s="132"/>
      <c r="D36" s="126"/>
      <c r="E36" s="381"/>
      <c r="F36" s="381"/>
      <c r="G36" s="381"/>
      <c r="H36" s="126"/>
      <c r="I36" s="378"/>
      <c r="J36" s="378"/>
      <c r="K36" s="152"/>
      <c r="L36" s="126"/>
      <c r="M36" s="149">
        <f>K36*I36</f>
        <v>0</v>
      </c>
      <c r="N36" s="153"/>
      <c r="O36" s="154"/>
    </row>
    <row r="37" spans="1:15" s="102" customFormat="1">
      <c r="A37" s="131"/>
      <c r="B37" s="131"/>
      <c r="C37" s="132"/>
      <c r="D37" s="126"/>
      <c r="E37" s="381"/>
      <c r="F37" s="381"/>
      <c r="G37" s="381"/>
      <c r="H37" s="126"/>
      <c r="I37" s="378"/>
      <c r="J37" s="378"/>
      <c r="K37" s="152"/>
      <c r="L37" s="126"/>
      <c r="M37" s="149">
        <f t="shared" ref="M37:M39" si="3">K37*I37</f>
        <v>0</v>
      </c>
      <c r="N37" s="153"/>
      <c r="O37" s="154"/>
    </row>
    <row r="38" spans="1:15" s="102" customFormat="1">
      <c r="A38" s="131"/>
      <c r="B38" s="131"/>
      <c r="C38" s="132"/>
      <c r="D38" s="126"/>
      <c r="E38" s="381"/>
      <c r="F38" s="381"/>
      <c r="G38" s="381"/>
      <c r="H38" s="126"/>
      <c r="I38" s="378"/>
      <c r="J38" s="378"/>
      <c r="K38" s="152"/>
      <c r="L38" s="126"/>
      <c r="M38" s="149">
        <f t="shared" si="3"/>
        <v>0</v>
      </c>
      <c r="N38" s="153"/>
      <c r="O38" s="154"/>
    </row>
    <row r="39" spans="1:15">
      <c r="A39" s="128"/>
      <c r="B39" s="128"/>
      <c r="C39" s="129"/>
      <c r="D39" s="127"/>
      <c r="E39" s="381"/>
      <c r="F39" s="381"/>
      <c r="G39" s="381"/>
      <c r="H39" s="127"/>
      <c r="I39" s="378"/>
      <c r="J39" s="378"/>
      <c r="K39" s="152"/>
      <c r="L39" s="127"/>
      <c r="M39" s="149">
        <f t="shared" si="3"/>
        <v>0</v>
      </c>
      <c r="N39" s="150"/>
      <c r="O39" s="151"/>
    </row>
    <row r="40" spans="1:15">
      <c r="A40" s="128"/>
      <c r="B40" s="128"/>
      <c r="C40" s="129"/>
      <c r="D40" s="127"/>
      <c r="E40" s="381"/>
      <c r="F40" s="381"/>
      <c r="G40" s="381"/>
      <c r="H40" s="127"/>
      <c r="I40" s="378"/>
      <c r="J40" s="378"/>
      <c r="K40" s="149"/>
      <c r="L40" s="127"/>
      <c r="M40" s="149">
        <f>I40*K40</f>
        <v>0</v>
      </c>
      <c r="N40" s="150"/>
      <c r="O40" s="151"/>
    </row>
    <row r="41" spans="1:15">
      <c r="A41" s="128"/>
      <c r="B41" s="128"/>
      <c r="C41" s="129"/>
      <c r="D41" s="127"/>
      <c r="E41" s="381"/>
      <c r="F41" s="381"/>
      <c r="G41" s="381"/>
      <c r="H41" s="127"/>
      <c r="I41" s="378"/>
      <c r="J41" s="378"/>
      <c r="K41" s="149"/>
      <c r="L41" s="127"/>
      <c r="M41" s="149"/>
      <c r="N41" s="150"/>
      <c r="O41" s="151"/>
    </row>
    <row r="42" spans="1:15">
      <c r="A42" s="130" t="s">
        <v>50</v>
      </c>
      <c r="B42" s="130"/>
      <c r="C42" s="130"/>
      <c r="D42" s="130"/>
      <c r="E42" s="130"/>
      <c r="F42" s="130"/>
      <c r="G42" s="130"/>
      <c r="H42" s="130"/>
      <c r="I42" s="379"/>
      <c r="J42" s="379"/>
      <c r="K42" s="130"/>
      <c r="L42" s="57"/>
      <c r="M42" s="149"/>
    </row>
    <row r="43" spans="1:15">
      <c r="A43" s="345"/>
      <c r="B43" s="345"/>
      <c r="C43" s="133"/>
      <c r="D43" s="133"/>
      <c r="E43" s="380" t="s">
        <v>66</v>
      </c>
      <c r="F43" s="380"/>
      <c r="G43" s="380"/>
      <c r="H43" s="127"/>
      <c r="I43" s="378"/>
      <c r="J43" s="378"/>
      <c r="K43" s="155"/>
      <c r="L43" s="147"/>
      <c r="M43" s="149"/>
    </row>
    <row r="44" spans="1:15">
      <c r="A44" s="128"/>
      <c r="B44" s="128"/>
      <c r="C44" s="133"/>
      <c r="D44" s="133"/>
      <c r="E44" s="380"/>
      <c r="F44" s="380"/>
      <c r="G44" s="380"/>
      <c r="H44" s="127"/>
      <c r="I44" s="378"/>
      <c r="J44" s="378"/>
      <c r="K44" s="155"/>
      <c r="L44" s="147"/>
      <c r="M44" s="149">
        <f>I44*K44</f>
        <v>0</v>
      </c>
    </row>
    <row r="45" spans="1:15">
      <c r="A45" s="345"/>
      <c r="B45" s="345"/>
      <c r="C45" s="133"/>
      <c r="D45" s="133"/>
      <c r="E45" s="291"/>
      <c r="F45" s="291"/>
      <c r="G45" s="291"/>
      <c r="H45" s="127"/>
      <c r="I45" s="378"/>
      <c r="J45" s="378"/>
      <c r="K45" s="155"/>
      <c r="L45" s="147"/>
      <c r="M45" s="149">
        <f t="shared" ref="M45:M48" si="4">I45*K45</f>
        <v>0</v>
      </c>
    </row>
    <row r="46" spans="1:15">
      <c r="A46" s="345"/>
      <c r="B46" s="345"/>
      <c r="C46" s="133"/>
      <c r="D46" s="133"/>
      <c r="E46" s="291"/>
      <c r="F46" s="291"/>
      <c r="G46" s="291"/>
      <c r="H46" s="127"/>
      <c r="I46" s="378"/>
      <c r="J46" s="378"/>
      <c r="K46" s="155"/>
      <c r="L46" s="147"/>
      <c r="M46" s="149">
        <f t="shared" si="4"/>
        <v>0</v>
      </c>
    </row>
    <row r="47" spans="1:15">
      <c r="A47" s="345"/>
      <c r="B47" s="345"/>
      <c r="C47" s="133"/>
      <c r="D47" s="133"/>
      <c r="E47" s="380"/>
      <c r="F47" s="380"/>
      <c r="G47" s="380"/>
      <c r="H47" s="127"/>
      <c r="I47" s="378"/>
      <c r="J47" s="378"/>
      <c r="K47" s="155"/>
      <c r="L47" s="147"/>
      <c r="M47" s="149">
        <f t="shared" si="4"/>
        <v>0</v>
      </c>
    </row>
    <row r="48" spans="1:15">
      <c r="A48" s="128"/>
      <c r="B48" s="128"/>
      <c r="C48" s="133"/>
      <c r="D48" s="133"/>
      <c r="E48" s="380"/>
      <c r="F48" s="380"/>
      <c r="G48" s="380"/>
      <c r="H48" s="127"/>
      <c r="I48" s="378"/>
      <c r="J48" s="378"/>
      <c r="K48" s="155"/>
      <c r="L48" s="147"/>
      <c r="M48" s="149">
        <f t="shared" si="4"/>
        <v>0</v>
      </c>
    </row>
    <row r="49" spans="1:15">
      <c r="A49" s="128"/>
      <c r="B49" s="128"/>
      <c r="C49" s="133"/>
      <c r="D49" s="133"/>
      <c r="E49" s="380"/>
      <c r="F49" s="380"/>
      <c r="G49" s="380"/>
      <c r="H49" s="127"/>
      <c r="I49" s="378"/>
      <c r="J49" s="378"/>
      <c r="K49" s="155"/>
      <c r="L49" s="147"/>
      <c r="M49" s="149">
        <f>I49*K49</f>
        <v>0</v>
      </c>
    </row>
    <row r="50" spans="1:15">
      <c r="A50" s="134" t="s">
        <v>51</v>
      </c>
      <c r="B50" s="133"/>
      <c r="C50" s="133"/>
      <c r="D50" s="133"/>
      <c r="E50" s="133"/>
      <c r="F50" s="133"/>
      <c r="G50" s="133"/>
      <c r="H50" s="133"/>
      <c r="I50" s="133"/>
      <c r="J50" s="133"/>
      <c r="K50" s="147"/>
      <c r="L50" s="147"/>
      <c r="M50" s="149">
        <f>K50*I50</f>
        <v>0</v>
      </c>
    </row>
    <row r="51" spans="1:15">
      <c r="A51" s="134"/>
      <c r="B51" s="133"/>
      <c r="C51" s="133"/>
      <c r="D51" s="133"/>
      <c r="E51" s="133"/>
      <c r="F51" s="133"/>
      <c r="G51" s="133"/>
      <c r="H51" s="133"/>
      <c r="I51" s="133"/>
      <c r="J51" s="133"/>
      <c r="K51" s="133"/>
      <c r="L51" s="147"/>
      <c r="M51" s="149"/>
      <c r="N51" s="101">
        <v>15381</v>
      </c>
    </row>
    <row r="52" spans="1:15">
      <c r="A52" s="57"/>
      <c r="B52" s="133"/>
      <c r="C52" s="133"/>
      <c r="D52" s="133"/>
      <c r="E52" s="133"/>
      <c r="F52" s="133"/>
      <c r="G52" s="133"/>
      <c r="H52" s="133"/>
      <c r="I52" s="133"/>
      <c r="J52" s="133"/>
      <c r="K52" s="133"/>
      <c r="L52" s="147"/>
      <c r="M52" s="149"/>
    </row>
    <row r="53" spans="1:15">
      <c r="A53" s="340" t="s">
        <v>52</v>
      </c>
      <c r="B53" s="340"/>
      <c r="C53" s="340"/>
      <c r="D53" s="340"/>
      <c r="E53" s="340"/>
      <c r="F53" s="340"/>
      <c r="G53" s="340"/>
      <c r="H53" s="340"/>
      <c r="I53" s="340"/>
      <c r="J53" s="340"/>
      <c r="K53" s="340"/>
      <c r="L53" s="156"/>
      <c r="M53" s="157">
        <f>SUM(M19:M52)</f>
        <v>0</v>
      </c>
    </row>
    <row r="54" spans="1:15" ht="18.75">
      <c r="A54" s="135"/>
      <c r="B54" s="135"/>
      <c r="C54" s="135"/>
      <c r="D54" s="135"/>
      <c r="E54" s="135"/>
      <c r="F54" s="135"/>
      <c r="G54" s="135"/>
      <c r="H54" s="136" t="s">
        <v>60</v>
      </c>
      <c r="J54" s="135"/>
      <c r="K54" s="135"/>
      <c r="L54" s="135"/>
      <c r="M54" s="135"/>
    </row>
    <row r="55" spans="1:15" ht="18.75">
      <c r="A55" s="135"/>
      <c r="B55" s="135"/>
      <c r="C55" s="135"/>
      <c r="D55" s="135"/>
      <c r="E55" s="135"/>
      <c r="F55" s="135"/>
      <c r="G55" s="135"/>
      <c r="H55" s="136"/>
      <c r="J55" s="135"/>
      <c r="K55" s="155">
        <v>100</v>
      </c>
      <c r="L55" s="158"/>
      <c r="M55" s="159"/>
    </row>
    <row r="56" spans="1:15" ht="15.75">
      <c r="A56" s="137"/>
      <c r="B56" s="137"/>
      <c r="C56" s="137"/>
      <c r="D56" s="137"/>
      <c r="E56" s="137"/>
      <c r="F56" s="137"/>
      <c r="G56" s="137"/>
      <c r="H56" s="137"/>
      <c r="I56" s="137"/>
      <c r="J56" s="137"/>
      <c r="K56" s="160" t="s">
        <v>54</v>
      </c>
      <c r="L56" s="161"/>
      <c r="M56" s="162">
        <f>M55+M53</f>
        <v>0</v>
      </c>
    </row>
    <row r="57" spans="1:15">
      <c r="A57" s="137"/>
      <c r="B57" s="137"/>
      <c r="C57" s="137"/>
      <c r="D57" s="137"/>
      <c r="E57" s="137"/>
      <c r="F57" s="137"/>
      <c r="G57" s="137"/>
      <c r="H57" s="137"/>
      <c r="I57" s="137"/>
      <c r="J57" s="137"/>
      <c r="K57" s="161" t="s">
        <v>55</v>
      </c>
      <c r="L57" s="161"/>
      <c r="M57" s="162"/>
    </row>
    <row r="58" spans="1:15" ht="21">
      <c r="A58" s="137"/>
      <c r="B58" s="137"/>
      <c r="C58" s="137"/>
      <c r="D58" s="137"/>
      <c r="E58" s="137"/>
      <c r="F58" s="137"/>
      <c r="G58" s="137"/>
      <c r="H58" s="137"/>
      <c r="I58" s="137"/>
      <c r="J58" s="137"/>
      <c r="K58" s="163" t="s">
        <v>56</v>
      </c>
      <c r="L58" s="163"/>
      <c r="M58" s="164">
        <f>M56-M57</f>
        <v>0</v>
      </c>
      <c r="O58" s="165">
        <f>SUM(M56:M56)</f>
        <v>0</v>
      </c>
    </row>
    <row r="59" spans="1:15">
      <c r="A59" s="138"/>
      <c r="B59" s="138"/>
      <c r="C59" s="138"/>
      <c r="D59" s="138"/>
      <c r="E59" s="138"/>
      <c r="F59" s="138"/>
      <c r="G59" s="138"/>
      <c r="H59" s="138"/>
      <c r="I59" s="138"/>
      <c r="J59" s="138"/>
    </row>
  </sheetData>
  <mergeCells count="106">
    <mergeCell ref="I1:M1"/>
    <mergeCell ref="I2:M2"/>
    <mergeCell ref="I3:M3"/>
    <mergeCell ref="A6:M6"/>
    <mergeCell ref="A7:J7"/>
    <mergeCell ref="K7:L7"/>
    <mergeCell ref="K10:L10"/>
    <mergeCell ref="A14:B14"/>
    <mergeCell ref="A15:B15"/>
    <mergeCell ref="K11:L11"/>
    <mergeCell ref="H15:J16"/>
    <mergeCell ref="K15:L16"/>
    <mergeCell ref="A16:B16"/>
    <mergeCell ref="C16:D16"/>
    <mergeCell ref="K12:L12"/>
    <mergeCell ref="A13:B13"/>
    <mergeCell ref="K13:L13"/>
    <mergeCell ref="A11:B11"/>
    <mergeCell ref="A47:B47"/>
    <mergeCell ref="A53:K53"/>
    <mergeCell ref="A33:B33"/>
    <mergeCell ref="I33:J33"/>
    <mergeCell ref="A34:B34"/>
    <mergeCell ref="A35:B35"/>
    <mergeCell ref="A36:B36"/>
    <mergeCell ref="A43:B43"/>
    <mergeCell ref="A45:B45"/>
    <mergeCell ref="A46:B46"/>
    <mergeCell ref="E43:G43"/>
    <mergeCell ref="E44:G44"/>
    <mergeCell ref="E45:G45"/>
    <mergeCell ref="E46:G46"/>
    <mergeCell ref="E47:G47"/>
    <mergeCell ref="E48:G48"/>
    <mergeCell ref="E40:G40"/>
    <mergeCell ref="E41:G41"/>
    <mergeCell ref="E49:G49"/>
    <mergeCell ref="E37:G37"/>
    <mergeCell ref="E38:G38"/>
    <mergeCell ref="E39:G39"/>
    <mergeCell ref="I47:J47"/>
    <mergeCell ref="I48:J48"/>
    <mergeCell ref="A18:B18"/>
    <mergeCell ref="C18:E18"/>
    <mergeCell ref="F18:G18"/>
    <mergeCell ref="H18:J18"/>
    <mergeCell ref="K18:L18"/>
    <mergeCell ref="K14:L14"/>
    <mergeCell ref="A8:B8"/>
    <mergeCell ref="C8:F8"/>
    <mergeCell ref="A9:B10"/>
    <mergeCell ref="C9:F11"/>
    <mergeCell ref="H10:J10"/>
    <mergeCell ref="H11:J13"/>
    <mergeCell ref="C12:F14"/>
    <mergeCell ref="H14:J14"/>
    <mergeCell ref="A12:B12"/>
    <mergeCell ref="H9:J9"/>
    <mergeCell ref="K9:L9"/>
    <mergeCell ref="H8:J8"/>
    <mergeCell ref="K8:L8"/>
    <mergeCell ref="H17:J17"/>
    <mergeCell ref="K17:L17"/>
    <mergeCell ref="C17:E17"/>
    <mergeCell ref="F17:G17"/>
    <mergeCell ref="E25:G25"/>
    <mergeCell ref="E26:G26"/>
    <mergeCell ref="E27:G27"/>
    <mergeCell ref="E28:G28"/>
    <mergeCell ref="E29:G29"/>
    <mergeCell ref="E20:G20"/>
    <mergeCell ref="E21:G21"/>
    <mergeCell ref="E22:G22"/>
    <mergeCell ref="E23:G23"/>
    <mergeCell ref="E24:G24"/>
    <mergeCell ref="I20:J20"/>
    <mergeCell ref="I21:J21"/>
    <mergeCell ref="I22:J22"/>
    <mergeCell ref="I23:J23"/>
    <mergeCell ref="I24:J24"/>
    <mergeCell ref="I25:J25"/>
    <mergeCell ref="I26:J26"/>
    <mergeCell ref="I27:J27"/>
    <mergeCell ref="I28:J28"/>
    <mergeCell ref="I29:J29"/>
    <mergeCell ref="I30:J30"/>
    <mergeCell ref="I31:J31"/>
    <mergeCell ref="I34:J34"/>
    <mergeCell ref="I35:J35"/>
    <mergeCell ref="I36:J36"/>
    <mergeCell ref="E30:G30"/>
    <mergeCell ref="E31:G31"/>
    <mergeCell ref="E34:G34"/>
    <mergeCell ref="E35:G35"/>
    <mergeCell ref="E36:G36"/>
    <mergeCell ref="I49:J49"/>
    <mergeCell ref="I42:J42"/>
    <mergeCell ref="I43:J43"/>
    <mergeCell ref="I44:J44"/>
    <mergeCell ref="I45:J45"/>
    <mergeCell ref="I46:J46"/>
    <mergeCell ref="I37:J37"/>
    <mergeCell ref="I38:J38"/>
    <mergeCell ref="I39:J39"/>
    <mergeCell ref="I40:J40"/>
    <mergeCell ref="I41:J41"/>
  </mergeCells>
  <printOptions horizontalCentered="1"/>
  <pageMargins left="0" right="0" top="0" bottom="0" header="0" footer="0"/>
  <pageSetup scale="7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view="pageLayout" zoomScale="60" zoomScaleNormal="100" zoomScalePageLayoutView="60" workbookViewId="0">
      <selection activeCell="I2" sqref="I2"/>
    </sheetView>
  </sheetViews>
  <sheetFormatPr defaultColWidth="9" defaultRowHeight="1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view="pageLayout" zoomScale="70" zoomScaleNormal="100" zoomScalePageLayoutView="70" workbookViewId="0">
      <selection activeCell="B7" sqref="B7:B8"/>
    </sheetView>
  </sheetViews>
  <sheetFormatPr defaultColWidth="9" defaultRowHeight="15.75"/>
  <cols>
    <col min="1" max="1" width="8" style="93" customWidth="1"/>
    <col min="2" max="2" width="61.85546875" style="93" customWidth="1"/>
    <col min="3" max="3" width="7.7109375" style="93" customWidth="1"/>
    <col min="4" max="4" width="8.42578125" style="93" customWidth="1"/>
    <col min="5" max="5" width="9.7109375" style="93" customWidth="1"/>
    <col min="6" max="6" width="8.5703125" style="93" customWidth="1"/>
    <col min="7" max="256" width="9.140625" style="93"/>
    <col min="257" max="257" width="15.7109375" style="93" customWidth="1"/>
    <col min="258" max="258" width="52.5703125" style="93" customWidth="1"/>
    <col min="259" max="259" width="9.7109375" style="93" customWidth="1"/>
    <col min="260" max="260" width="12.42578125" style="93" customWidth="1"/>
    <col min="261" max="261" width="12.85546875" style="93" customWidth="1"/>
    <col min="262" max="512" width="9.140625" style="93"/>
    <col min="513" max="513" width="15.7109375" style="93" customWidth="1"/>
    <col min="514" max="514" width="52.5703125" style="93" customWidth="1"/>
    <col min="515" max="515" width="9.7109375" style="93" customWidth="1"/>
    <col min="516" max="516" width="12.42578125" style="93" customWidth="1"/>
    <col min="517" max="517" width="12.85546875" style="93" customWidth="1"/>
    <col min="518" max="768" width="9.140625" style="93"/>
    <col min="769" max="769" width="15.7109375" style="93" customWidth="1"/>
    <col min="770" max="770" width="52.5703125" style="93" customWidth="1"/>
    <col min="771" max="771" width="9.7109375" style="93" customWidth="1"/>
    <col min="772" max="772" width="12.42578125" style="93" customWidth="1"/>
    <col min="773" max="773" width="12.85546875" style="93" customWidth="1"/>
    <col min="774" max="1024" width="9.140625" style="93"/>
    <col min="1025" max="1025" width="15.7109375" style="93" customWidth="1"/>
    <col min="1026" max="1026" width="52.5703125" style="93" customWidth="1"/>
    <col min="1027" max="1027" width="9.7109375" style="93" customWidth="1"/>
    <col min="1028" max="1028" width="12.42578125" style="93" customWidth="1"/>
    <col min="1029" max="1029" width="12.85546875" style="93" customWidth="1"/>
    <col min="1030" max="1280" width="9.140625" style="93"/>
    <col min="1281" max="1281" width="15.7109375" style="93" customWidth="1"/>
    <col min="1282" max="1282" width="52.5703125" style="93" customWidth="1"/>
    <col min="1283" max="1283" width="9.7109375" style="93" customWidth="1"/>
    <col min="1284" max="1284" width="12.42578125" style="93" customWidth="1"/>
    <col min="1285" max="1285" width="12.85546875" style="93" customWidth="1"/>
    <col min="1286" max="1536" width="9.140625" style="93"/>
    <col min="1537" max="1537" width="15.7109375" style="93" customWidth="1"/>
    <col min="1538" max="1538" width="52.5703125" style="93" customWidth="1"/>
    <col min="1539" max="1539" width="9.7109375" style="93" customWidth="1"/>
    <col min="1540" max="1540" width="12.42578125" style="93" customWidth="1"/>
    <col min="1541" max="1541" width="12.85546875" style="93" customWidth="1"/>
    <col min="1542" max="1792" width="9.140625" style="93"/>
    <col min="1793" max="1793" width="15.7109375" style="93" customWidth="1"/>
    <col min="1794" max="1794" width="52.5703125" style="93" customWidth="1"/>
    <col min="1795" max="1795" width="9.7109375" style="93" customWidth="1"/>
    <col min="1796" max="1796" width="12.42578125" style="93" customWidth="1"/>
    <col min="1797" max="1797" width="12.85546875" style="93" customWidth="1"/>
    <col min="1798" max="2048" width="9.140625" style="93"/>
    <col min="2049" max="2049" width="15.7109375" style="93" customWidth="1"/>
    <col min="2050" max="2050" width="52.5703125" style="93" customWidth="1"/>
    <col min="2051" max="2051" width="9.7109375" style="93" customWidth="1"/>
    <col min="2052" max="2052" width="12.42578125" style="93" customWidth="1"/>
    <col min="2053" max="2053" width="12.85546875" style="93" customWidth="1"/>
    <col min="2054" max="2304" width="9.140625" style="93"/>
    <col min="2305" max="2305" width="15.7109375" style="93" customWidth="1"/>
    <col min="2306" max="2306" width="52.5703125" style="93" customWidth="1"/>
    <col min="2307" max="2307" width="9.7109375" style="93" customWidth="1"/>
    <col min="2308" max="2308" width="12.42578125" style="93" customWidth="1"/>
    <col min="2309" max="2309" width="12.85546875" style="93" customWidth="1"/>
    <col min="2310" max="2560" width="9.140625" style="93"/>
    <col min="2561" max="2561" width="15.7109375" style="93" customWidth="1"/>
    <col min="2562" max="2562" width="52.5703125" style="93" customWidth="1"/>
    <col min="2563" max="2563" width="9.7109375" style="93" customWidth="1"/>
    <col min="2564" max="2564" width="12.42578125" style="93" customWidth="1"/>
    <col min="2565" max="2565" width="12.85546875" style="93" customWidth="1"/>
    <col min="2566" max="2816" width="9.140625" style="93"/>
    <col min="2817" max="2817" width="15.7109375" style="93" customWidth="1"/>
    <col min="2818" max="2818" width="52.5703125" style="93" customWidth="1"/>
    <col min="2819" max="2819" width="9.7109375" style="93" customWidth="1"/>
    <col min="2820" max="2820" width="12.42578125" style="93" customWidth="1"/>
    <col min="2821" max="2821" width="12.85546875" style="93" customWidth="1"/>
    <col min="2822" max="3072" width="9.140625" style="93"/>
    <col min="3073" max="3073" width="15.7109375" style="93" customWidth="1"/>
    <col min="3074" max="3074" width="52.5703125" style="93" customWidth="1"/>
    <col min="3075" max="3075" width="9.7109375" style="93" customWidth="1"/>
    <col min="3076" max="3076" width="12.42578125" style="93" customWidth="1"/>
    <col min="3077" max="3077" width="12.85546875" style="93" customWidth="1"/>
    <col min="3078" max="3328" width="9.140625" style="93"/>
    <col min="3329" max="3329" width="15.7109375" style="93" customWidth="1"/>
    <col min="3330" max="3330" width="52.5703125" style="93" customWidth="1"/>
    <col min="3331" max="3331" width="9.7109375" style="93" customWidth="1"/>
    <col min="3332" max="3332" width="12.42578125" style="93" customWidth="1"/>
    <col min="3333" max="3333" width="12.85546875" style="93" customWidth="1"/>
    <col min="3334" max="3584" width="9.140625" style="93"/>
    <col min="3585" max="3585" width="15.7109375" style="93" customWidth="1"/>
    <col min="3586" max="3586" width="52.5703125" style="93" customWidth="1"/>
    <col min="3587" max="3587" width="9.7109375" style="93" customWidth="1"/>
    <col min="3588" max="3588" width="12.42578125" style="93" customWidth="1"/>
    <col min="3589" max="3589" width="12.85546875" style="93" customWidth="1"/>
    <col min="3590" max="3840" width="9.140625" style="93"/>
    <col min="3841" max="3841" width="15.7109375" style="93" customWidth="1"/>
    <col min="3842" max="3842" width="52.5703125" style="93" customWidth="1"/>
    <col min="3843" max="3843" width="9.7109375" style="93" customWidth="1"/>
    <col min="3844" max="3844" width="12.42578125" style="93" customWidth="1"/>
    <col min="3845" max="3845" width="12.85546875" style="93" customWidth="1"/>
    <col min="3846" max="4096" width="9.140625" style="93"/>
    <col min="4097" max="4097" width="15.7109375" style="93" customWidth="1"/>
    <col min="4098" max="4098" width="52.5703125" style="93" customWidth="1"/>
    <col min="4099" max="4099" width="9.7109375" style="93" customWidth="1"/>
    <col min="4100" max="4100" width="12.42578125" style="93" customWidth="1"/>
    <col min="4101" max="4101" width="12.85546875" style="93" customWidth="1"/>
    <col min="4102" max="4352" width="9.140625" style="93"/>
    <col min="4353" max="4353" width="15.7109375" style="93" customWidth="1"/>
    <col min="4354" max="4354" width="52.5703125" style="93" customWidth="1"/>
    <col min="4355" max="4355" width="9.7109375" style="93" customWidth="1"/>
    <col min="4356" max="4356" width="12.42578125" style="93" customWidth="1"/>
    <col min="4357" max="4357" width="12.85546875" style="93" customWidth="1"/>
    <col min="4358" max="4608" width="9.140625" style="93"/>
    <col min="4609" max="4609" width="15.7109375" style="93" customWidth="1"/>
    <col min="4610" max="4610" width="52.5703125" style="93" customWidth="1"/>
    <col min="4611" max="4611" width="9.7109375" style="93" customWidth="1"/>
    <col min="4612" max="4612" width="12.42578125" style="93" customWidth="1"/>
    <col min="4613" max="4613" width="12.85546875" style="93" customWidth="1"/>
    <col min="4614" max="4864" width="9.140625" style="93"/>
    <col min="4865" max="4865" width="15.7109375" style="93" customWidth="1"/>
    <col min="4866" max="4866" width="52.5703125" style="93" customWidth="1"/>
    <col min="4867" max="4867" width="9.7109375" style="93" customWidth="1"/>
    <col min="4868" max="4868" width="12.42578125" style="93" customWidth="1"/>
    <col min="4869" max="4869" width="12.85546875" style="93" customWidth="1"/>
    <col min="4870" max="5120" width="9.140625" style="93"/>
    <col min="5121" max="5121" width="15.7109375" style="93" customWidth="1"/>
    <col min="5122" max="5122" width="52.5703125" style="93" customWidth="1"/>
    <col min="5123" max="5123" width="9.7109375" style="93" customWidth="1"/>
    <col min="5124" max="5124" width="12.42578125" style="93" customWidth="1"/>
    <col min="5125" max="5125" width="12.85546875" style="93" customWidth="1"/>
    <col min="5126" max="5376" width="9.140625" style="93"/>
    <col min="5377" max="5377" width="15.7109375" style="93" customWidth="1"/>
    <col min="5378" max="5378" width="52.5703125" style="93" customWidth="1"/>
    <col min="5379" max="5379" width="9.7109375" style="93" customWidth="1"/>
    <col min="5380" max="5380" width="12.42578125" style="93" customWidth="1"/>
    <col min="5381" max="5381" width="12.85546875" style="93" customWidth="1"/>
    <col min="5382" max="5632" width="9.140625" style="93"/>
    <col min="5633" max="5633" width="15.7109375" style="93" customWidth="1"/>
    <col min="5634" max="5634" width="52.5703125" style="93" customWidth="1"/>
    <col min="5635" max="5635" width="9.7109375" style="93" customWidth="1"/>
    <col min="5636" max="5636" width="12.42578125" style="93" customWidth="1"/>
    <col min="5637" max="5637" width="12.85546875" style="93" customWidth="1"/>
    <col min="5638" max="5888" width="9.140625" style="93"/>
    <col min="5889" max="5889" width="15.7109375" style="93" customWidth="1"/>
    <col min="5890" max="5890" width="52.5703125" style="93" customWidth="1"/>
    <col min="5891" max="5891" width="9.7109375" style="93" customWidth="1"/>
    <col min="5892" max="5892" width="12.42578125" style="93" customWidth="1"/>
    <col min="5893" max="5893" width="12.85546875" style="93" customWidth="1"/>
    <col min="5894" max="6144" width="9.140625" style="93"/>
    <col min="6145" max="6145" width="15.7109375" style="93" customWidth="1"/>
    <col min="6146" max="6146" width="52.5703125" style="93" customWidth="1"/>
    <col min="6147" max="6147" width="9.7109375" style="93" customWidth="1"/>
    <col min="6148" max="6148" width="12.42578125" style="93" customWidth="1"/>
    <col min="6149" max="6149" width="12.85546875" style="93" customWidth="1"/>
    <col min="6150" max="6400" width="9.140625" style="93"/>
    <col min="6401" max="6401" width="15.7109375" style="93" customWidth="1"/>
    <col min="6402" max="6402" width="52.5703125" style="93" customWidth="1"/>
    <col min="6403" max="6403" width="9.7109375" style="93" customWidth="1"/>
    <col min="6404" max="6404" width="12.42578125" style="93" customWidth="1"/>
    <col min="6405" max="6405" width="12.85546875" style="93" customWidth="1"/>
    <col min="6406" max="6656" width="9.140625" style="93"/>
    <col min="6657" max="6657" width="15.7109375" style="93" customWidth="1"/>
    <col min="6658" max="6658" width="52.5703125" style="93" customWidth="1"/>
    <col min="6659" max="6659" width="9.7109375" style="93" customWidth="1"/>
    <col min="6660" max="6660" width="12.42578125" style="93" customWidth="1"/>
    <col min="6661" max="6661" width="12.85546875" style="93" customWidth="1"/>
    <col min="6662" max="6912" width="9.140625" style="93"/>
    <col min="6913" max="6913" width="15.7109375" style="93" customWidth="1"/>
    <col min="6914" max="6914" width="52.5703125" style="93" customWidth="1"/>
    <col min="6915" max="6915" width="9.7109375" style="93" customWidth="1"/>
    <col min="6916" max="6916" width="12.42578125" style="93" customWidth="1"/>
    <col min="6917" max="6917" width="12.85546875" style="93" customWidth="1"/>
    <col min="6918" max="7168" width="9.140625" style="93"/>
    <col min="7169" max="7169" width="15.7109375" style="93" customWidth="1"/>
    <col min="7170" max="7170" width="52.5703125" style="93" customWidth="1"/>
    <col min="7171" max="7171" width="9.7109375" style="93" customWidth="1"/>
    <col min="7172" max="7172" width="12.42578125" style="93" customWidth="1"/>
    <col min="7173" max="7173" width="12.85546875" style="93" customWidth="1"/>
    <col min="7174" max="7424" width="9.140625" style="93"/>
    <col min="7425" max="7425" width="15.7109375" style="93" customWidth="1"/>
    <col min="7426" max="7426" width="52.5703125" style="93" customWidth="1"/>
    <col min="7427" max="7427" width="9.7109375" style="93" customWidth="1"/>
    <col min="7428" max="7428" width="12.42578125" style="93" customWidth="1"/>
    <col min="7429" max="7429" width="12.85546875" style="93" customWidth="1"/>
    <col min="7430" max="7680" width="9.140625" style="93"/>
    <col min="7681" max="7681" width="15.7109375" style="93" customWidth="1"/>
    <col min="7682" max="7682" width="52.5703125" style="93" customWidth="1"/>
    <col min="7683" max="7683" width="9.7109375" style="93" customWidth="1"/>
    <col min="7684" max="7684" width="12.42578125" style="93" customWidth="1"/>
    <col min="7685" max="7685" width="12.85546875" style="93" customWidth="1"/>
    <col min="7686" max="7936" width="9.140625" style="93"/>
    <col min="7937" max="7937" width="15.7109375" style="93" customWidth="1"/>
    <col min="7938" max="7938" width="52.5703125" style="93" customWidth="1"/>
    <col min="7939" max="7939" width="9.7109375" style="93" customWidth="1"/>
    <col min="7940" max="7940" width="12.42578125" style="93" customWidth="1"/>
    <col min="7941" max="7941" width="12.85546875" style="93" customWidth="1"/>
    <col min="7942" max="8192" width="9.140625" style="93"/>
    <col min="8193" max="8193" width="15.7109375" style="93" customWidth="1"/>
    <col min="8194" max="8194" width="52.5703125" style="93" customWidth="1"/>
    <col min="8195" max="8195" width="9.7109375" style="93" customWidth="1"/>
    <col min="8196" max="8196" width="12.42578125" style="93" customWidth="1"/>
    <col min="8197" max="8197" width="12.85546875" style="93" customWidth="1"/>
    <col min="8198" max="8448" width="9.140625" style="93"/>
    <col min="8449" max="8449" width="15.7109375" style="93" customWidth="1"/>
    <col min="8450" max="8450" width="52.5703125" style="93" customWidth="1"/>
    <col min="8451" max="8451" width="9.7109375" style="93" customWidth="1"/>
    <col min="8452" max="8452" width="12.42578125" style="93" customWidth="1"/>
    <col min="8453" max="8453" width="12.85546875" style="93" customWidth="1"/>
    <col min="8454" max="8704" width="9.140625" style="93"/>
    <col min="8705" max="8705" width="15.7109375" style="93" customWidth="1"/>
    <col min="8706" max="8706" width="52.5703125" style="93" customWidth="1"/>
    <col min="8707" max="8707" width="9.7109375" style="93" customWidth="1"/>
    <col min="8708" max="8708" width="12.42578125" style="93" customWidth="1"/>
    <col min="8709" max="8709" width="12.85546875" style="93" customWidth="1"/>
    <col min="8710" max="8960" width="9.140625" style="93"/>
    <col min="8961" max="8961" width="15.7109375" style="93" customWidth="1"/>
    <col min="8962" max="8962" width="52.5703125" style="93" customWidth="1"/>
    <col min="8963" max="8963" width="9.7109375" style="93" customWidth="1"/>
    <col min="8964" max="8964" width="12.42578125" style="93" customWidth="1"/>
    <col min="8965" max="8965" width="12.85546875" style="93" customWidth="1"/>
    <col min="8966" max="9216" width="9.140625" style="93"/>
    <col min="9217" max="9217" width="15.7109375" style="93" customWidth="1"/>
    <col min="9218" max="9218" width="52.5703125" style="93" customWidth="1"/>
    <col min="9219" max="9219" width="9.7109375" style="93" customWidth="1"/>
    <col min="9220" max="9220" width="12.42578125" style="93" customWidth="1"/>
    <col min="9221" max="9221" width="12.85546875" style="93" customWidth="1"/>
    <col min="9222" max="9472" width="9.140625" style="93"/>
    <col min="9473" max="9473" width="15.7109375" style="93" customWidth="1"/>
    <col min="9474" max="9474" width="52.5703125" style="93" customWidth="1"/>
    <col min="9475" max="9475" width="9.7109375" style="93" customWidth="1"/>
    <col min="9476" max="9476" width="12.42578125" style="93" customWidth="1"/>
    <col min="9477" max="9477" width="12.85546875" style="93" customWidth="1"/>
    <col min="9478" max="9728" width="9.140625" style="93"/>
    <col min="9729" max="9729" width="15.7109375" style="93" customWidth="1"/>
    <col min="9730" max="9730" width="52.5703125" style="93" customWidth="1"/>
    <col min="9731" max="9731" width="9.7109375" style="93" customWidth="1"/>
    <col min="9732" max="9732" width="12.42578125" style="93" customWidth="1"/>
    <col min="9733" max="9733" width="12.85546875" style="93" customWidth="1"/>
    <col min="9734" max="9984" width="9.140625" style="93"/>
    <col min="9985" max="9985" width="15.7109375" style="93" customWidth="1"/>
    <col min="9986" max="9986" width="52.5703125" style="93" customWidth="1"/>
    <col min="9987" max="9987" width="9.7109375" style="93" customWidth="1"/>
    <col min="9988" max="9988" width="12.42578125" style="93" customWidth="1"/>
    <col min="9989" max="9989" width="12.85546875" style="93" customWidth="1"/>
    <col min="9990" max="10240" width="9.140625" style="93"/>
    <col min="10241" max="10241" width="15.7109375" style="93" customWidth="1"/>
    <col min="10242" max="10242" width="52.5703125" style="93" customWidth="1"/>
    <col min="10243" max="10243" width="9.7109375" style="93" customWidth="1"/>
    <col min="10244" max="10244" width="12.42578125" style="93" customWidth="1"/>
    <col min="10245" max="10245" width="12.85546875" style="93" customWidth="1"/>
    <col min="10246" max="10496" width="9.140625" style="93"/>
    <col min="10497" max="10497" width="15.7109375" style="93" customWidth="1"/>
    <col min="10498" max="10498" width="52.5703125" style="93" customWidth="1"/>
    <col min="10499" max="10499" width="9.7109375" style="93" customWidth="1"/>
    <col min="10500" max="10500" width="12.42578125" style="93" customWidth="1"/>
    <col min="10501" max="10501" width="12.85546875" style="93" customWidth="1"/>
    <col min="10502" max="10752" width="9.140625" style="93"/>
    <col min="10753" max="10753" width="15.7109375" style="93" customWidth="1"/>
    <col min="10754" max="10754" width="52.5703125" style="93" customWidth="1"/>
    <col min="10755" max="10755" width="9.7109375" style="93" customWidth="1"/>
    <col min="10756" max="10756" width="12.42578125" style="93" customWidth="1"/>
    <col min="10757" max="10757" width="12.85546875" style="93" customWidth="1"/>
    <col min="10758" max="11008" width="9.140625" style="93"/>
    <col min="11009" max="11009" width="15.7109375" style="93" customWidth="1"/>
    <col min="11010" max="11010" width="52.5703125" style="93" customWidth="1"/>
    <col min="11011" max="11011" width="9.7109375" style="93" customWidth="1"/>
    <col min="11012" max="11012" width="12.42578125" style="93" customWidth="1"/>
    <col min="11013" max="11013" width="12.85546875" style="93" customWidth="1"/>
    <col min="11014" max="11264" width="9.140625" style="93"/>
    <col min="11265" max="11265" width="15.7109375" style="93" customWidth="1"/>
    <col min="11266" max="11266" width="52.5703125" style="93" customWidth="1"/>
    <col min="11267" max="11267" width="9.7109375" style="93" customWidth="1"/>
    <col min="11268" max="11268" width="12.42578125" style="93" customWidth="1"/>
    <col min="11269" max="11269" width="12.85546875" style="93" customWidth="1"/>
    <col min="11270" max="11520" width="9.140625" style="93"/>
    <col min="11521" max="11521" width="15.7109375" style="93" customWidth="1"/>
    <col min="11522" max="11522" width="52.5703125" style="93" customWidth="1"/>
    <col min="11523" max="11523" width="9.7109375" style="93" customWidth="1"/>
    <col min="11524" max="11524" width="12.42578125" style="93" customWidth="1"/>
    <col min="11525" max="11525" width="12.85546875" style="93" customWidth="1"/>
    <col min="11526" max="11776" width="9.140625" style="93"/>
    <col min="11777" max="11777" width="15.7109375" style="93" customWidth="1"/>
    <col min="11778" max="11778" width="52.5703125" style="93" customWidth="1"/>
    <col min="11779" max="11779" width="9.7109375" style="93" customWidth="1"/>
    <col min="11780" max="11780" width="12.42578125" style="93" customWidth="1"/>
    <col min="11781" max="11781" width="12.85546875" style="93" customWidth="1"/>
    <col min="11782" max="12032" width="9.140625" style="93"/>
    <col min="12033" max="12033" width="15.7109375" style="93" customWidth="1"/>
    <col min="12034" max="12034" width="52.5703125" style="93" customWidth="1"/>
    <col min="12035" max="12035" width="9.7109375" style="93" customWidth="1"/>
    <col min="12036" max="12036" width="12.42578125" style="93" customWidth="1"/>
    <col min="12037" max="12037" width="12.85546875" style="93" customWidth="1"/>
    <col min="12038" max="12288" width="9.140625" style="93"/>
    <col min="12289" max="12289" width="15.7109375" style="93" customWidth="1"/>
    <col min="12290" max="12290" width="52.5703125" style="93" customWidth="1"/>
    <col min="12291" max="12291" width="9.7109375" style="93" customWidth="1"/>
    <col min="12292" max="12292" width="12.42578125" style="93" customWidth="1"/>
    <col min="12293" max="12293" width="12.85546875" style="93" customWidth="1"/>
    <col min="12294" max="12544" width="9.140625" style="93"/>
    <col min="12545" max="12545" width="15.7109375" style="93" customWidth="1"/>
    <col min="12546" max="12546" width="52.5703125" style="93" customWidth="1"/>
    <col min="12547" max="12547" width="9.7109375" style="93" customWidth="1"/>
    <col min="12548" max="12548" width="12.42578125" style="93" customWidth="1"/>
    <col min="12549" max="12549" width="12.85546875" style="93" customWidth="1"/>
    <col min="12550" max="12800" width="9.140625" style="93"/>
    <col min="12801" max="12801" width="15.7109375" style="93" customWidth="1"/>
    <col min="12802" max="12802" width="52.5703125" style="93" customWidth="1"/>
    <col min="12803" max="12803" width="9.7109375" style="93" customWidth="1"/>
    <col min="12804" max="12804" width="12.42578125" style="93" customWidth="1"/>
    <col min="12805" max="12805" width="12.85546875" style="93" customWidth="1"/>
    <col min="12806" max="13056" width="9.140625" style="93"/>
    <col min="13057" max="13057" width="15.7109375" style="93" customWidth="1"/>
    <col min="13058" max="13058" width="52.5703125" style="93" customWidth="1"/>
    <col min="13059" max="13059" width="9.7109375" style="93" customWidth="1"/>
    <col min="13060" max="13060" width="12.42578125" style="93" customWidth="1"/>
    <col min="13061" max="13061" width="12.85546875" style="93" customWidth="1"/>
    <col min="13062" max="13312" width="9.140625" style="93"/>
    <col min="13313" max="13313" width="15.7109375" style="93" customWidth="1"/>
    <col min="13314" max="13314" width="52.5703125" style="93" customWidth="1"/>
    <col min="13315" max="13315" width="9.7109375" style="93" customWidth="1"/>
    <col min="13316" max="13316" width="12.42578125" style="93" customWidth="1"/>
    <col min="13317" max="13317" width="12.85546875" style="93" customWidth="1"/>
    <col min="13318" max="13568" width="9.140625" style="93"/>
    <col min="13569" max="13569" width="15.7109375" style="93" customWidth="1"/>
    <col min="13570" max="13570" width="52.5703125" style="93" customWidth="1"/>
    <col min="13571" max="13571" width="9.7109375" style="93" customWidth="1"/>
    <col min="13572" max="13572" width="12.42578125" style="93" customWidth="1"/>
    <col min="13573" max="13573" width="12.85546875" style="93" customWidth="1"/>
    <col min="13574" max="13824" width="9.140625" style="93"/>
    <col min="13825" max="13825" width="15.7109375" style="93" customWidth="1"/>
    <col min="13826" max="13826" width="52.5703125" style="93" customWidth="1"/>
    <col min="13827" max="13827" width="9.7109375" style="93" customWidth="1"/>
    <col min="13828" max="13828" width="12.42578125" style="93" customWidth="1"/>
    <col min="13829" max="13829" width="12.85546875" style="93" customWidth="1"/>
    <col min="13830" max="14080" width="9.140625" style="93"/>
    <col min="14081" max="14081" width="15.7109375" style="93" customWidth="1"/>
    <col min="14082" max="14082" width="52.5703125" style="93" customWidth="1"/>
    <col min="14083" max="14083" width="9.7109375" style="93" customWidth="1"/>
    <col min="14084" max="14084" width="12.42578125" style="93" customWidth="1"/>
    <col min="14085" max="14085" width="12.85546875" style="93" customWidth="1"/>
    <col min="14086" max="14336" width="9.140625" style="93"/>
    <col min="14337" max="14337" width="15.7109375" style="93" customWidth="1"/>
    <col min="14338" max="14338" width="52.5703125" style="93" customWidth="1"/>
    <col min="14339" max="14339" width="9.7109375" style="93" customWidth="1"/>
    <col min="14340" max="14340" width="12.42578125" style="93" customWidth="1"/>
    <col min="14341" max="14341" width="12.85546875" style="93" customWidth="1"/>
    <col min="14342" max="14592" width="9.140625" style="93"/>
    <col min="14593" max="14593" width="15.7109375" style="93" customWidth="1"/>
    <col min="14594" max="14594" width="52.5703125" style="93" customWidth="1"/>
    <col min="14595" max="14595" width="9.7109375" style="93" customWidth="1"/>
    <col min="14596" max="14596" width="12.42578125" style="93" customWidth="1"/>
    <col min="14597" max="14597" width="12.85546875" style="93" customWidth="1"/>
    <col min="14598" max="14848" width="9.140625" style="93"/>
    <col min="14849" max="14849" width="15.7109375" style="93" customWidth="1"/>
    <col min="14850" max="14850" width="52.5703125" style="93" customWidth="1"/>
    <col min="14851" max="14851" width="9.7109375" style="93" customWidth="1"/>
    <col min="14852" max="14852" width="12.42578125" style="93" customWidth="1"/>
    <col min="14853" max="14853" width="12.85546875" style="93" customWidth="1"/>
    <col min="14854" max="15104" width="9.140625" style="93"/>
    <col min="15105" max="15105" width="15.7109375" style="93" customWidth="1"/>
    <col min="15106" max="15106" width="52.5703125" style="93" customWidth="1"/>
    <col min="15107" max="15107" width="9.7109375" style="93" customWidth="1"/>
    <col min="15108" max="15108" width="12.42578125" style="93" customWidth="1"/>
    <col min="15109" max="15109" width="12.85546875" style="93" customWidth="1"/>
    <col min="15110" max="15360" width="9.140625" style="93"/>
    <col min="15361" max="15361" width="15.7109375" style="93" customWidth="1"/>
    <col min="15362" max="15362" width="52.5703125" style="93" customWidth="1"/>
    <col min="15363" max="15363" width="9.7109375" style="93" customWidth="1"/>
    <col min="15364" max="15364" width="12.42578125" style="93" customWidth="1"/>
    <col min="15365" max="15365" width="12.85546875" style="93" customWidth="1"/>
    <col min="15366" max="15616" width="9.140625" style="93"/>
    <col min="15617" max="15617" width="15.7109375" style="93" customWidth="1"/>
    <col min="15618" max="15618" width="52.5703125" style="93" customWidth="1"/>
    <col min="15619" max="15619" width="9.7109375" style="93" customWidth="1"/>
    <col min="15620" max="15620" width="12.42578125" style="93" customWidth="1"/>
    <col min="15621" max="15621" width="12.85546875" style="93" customWidth="1"/>
    <col min="15622" max="15872" width="9.140625" style="93"/>
    <col min="15873" max="15873" width="15.7109375" style="93" customWidth="1"/>
    <col min="15874" max="15874" width="52.5703125" style="93" customWidth="1"/>
    <col min="15875" max="15875" width="9.7109375" style="93" customWidth="1"/>
    <col min="15876" max="15876" width="12.42578125" style="93" customWidth="1"/>
    <col min="15877" max="15877" width="12.85546875" style="93" customWidth="1"/>
    <col min="15878" max="16128" width="9.140625" style="93"/>
    <col min="16129" max="16129" width="15.7109375" style="93" customWidth="1"/>
    <col min="16130" max="16130" width="52.5703125" style="93" customWidth="1"/>
    <col min="16131" max="16131" width="9.7109375" style="93" customWidth="1"/>
    <col min="16132" max="16132" width="12.42578125" style="93" customWidth="1"/>
    <col min="16133" max="16133" width="12.85546875" style="93" customWidth="1"/>
    <col min="16134" max="16384" width="9.140625" style="93"/>
  </cols>
  <sheetData>
    <row r="1" spans="1:7">
      <c r="A1" s="94"/>
      <c r="B1" s="94"/>
      <c r="C1" s="94"/>
      <c r="D1" s="94"/>
      <c r="E1" s="94"/>
      <c r="F1" s="94"/>
    </row>
    <row r="2" spans="1:7">
      <c r="A2" s="94"/>
      <c r="B2" s="94"/>
      <c r="C2" s="94"/>
      <c r="D2" s="94"/>
      <c r="E2" s="94"/>
      <c r="F2" s="94"/>
    </row>
    <row r="3" spans="1:7">
      <c r="A3" s="94"/>
      <c r="B3" s="94"/>
      <c r="C3" s="94"/>
      <c r="D3" s="94"/>
      <c r="E3" s="94"/>
      <c r="F3" s="94"/>
    </row>
    <row r="4" spans="1:7" ht="24.95" customHeight="1">
      <c r="A4" s="95" t="s">
        <v>67</v>
      </c>
      <c r="B4" s="96" t="s">
        <v>68</v>
      </c>
      <c r="C4" s="421" t="s">
        <v>69</v>
      </c>
      <c r="D4" s="422"/>
      <c r="E4" s="423" t="s">
        <v>70</v>
      </c>
      <c r="F4" s="424"/>
    </row>
    <row r="5" spans="1:7" ht="16.5" customHeight="1">
      <c r="A5" s="398"/>
      <c r="B5" s="403">
        <f>'JOB ESTIMATE'!E20</f>
        <v>0</v>
      </c>
      <c r="C5" s="425"/>
      <c r="D5" s="426"/>
      <c r="E5" s="427"/>
      <c r="F5" s="428"/>
      <c r="G5" s="94"/>
    </row>
    <row r="6" spans="1:7" ht="18.75" customHeight="1">
      <c r="A6" s="399"/>
      <c r="B6" s="403"/>
      <c r="C6" s="404"/>
      <c r="D6" s="405"/>
      <c r="E6" s="406"/>
      <c r="F6" s="429"/>
      <c r="G6" s="94"/>
    </row>
    <row r="7" spans="1:7" ht="18.75" customHeight="1">
      <c r="A7" s="400"/>
      <c r="B7" s="403"/>
      <c r="C7" s="430"/>
      <c r="D7" s="431"/>
      <c r="E7" s="406"/>
      <c r="F7" s="407"/>
      <c r="G7" s="94"/>
    </row>
    <row r="8" spans="1:7" ht="18.75" customHeight="1">
      <c r="A8" s="401"/>
      <c r="B8" s="403"/>
      <c r="C8" s="430"/>
      <c r="D8" s="431"/>
      <c r="E8" s="406"/>
      <c r="F8" s="407"/>
      <c r="G8" s="94"/>
    </row>
    <row r="9" spans="1:7" ht="18.75" customHeight="1">
      <c r="A9" s="399"/>
      <c r="B9" s="403"/>
      <c r="C9" s="404"/>
      <c r="D9" s="405"/>
      <c r="E9" s="410"/>
      <c r="F9" s="409"/>
      <c r="G9" s="94"/>
    </row>
    <row r="10" spans="1:7" ht="18" customHeight="1">
      <c r="A10" s="399"/>
      <c r="B10" s="403"/>
      <c r="C10" s="404"/>
      <c r="D10" s="405"/>
      <c r="E10" s="410"/>
      <c r="F10" s="409"/>
      <c r="G10" s="94"/>
    </row>
    <row r="11" spans="1:7" ht="17.25" customHeight="1">
      <c r="A11" s="399"/>
      <c r="B11" s="403"/>
      <c r="C11" s="404"/>
      <c r="D11" s="405"/>
      <c r="E11" s="410"/>
      <c r="F11" s="409"/>
      <c r="G11" s="94"/>
    </row>
    <row r="12" spans="1:7" ht="19.5" customHeight="1">
      <c r="A12" s="399"/>
      <c r="B12" s="403"/>
      <c r="C12" s="404"/>
      <c r="D12" s="405"/>
      <c r="E12" s="410"/>
      <c r="F12" s="409"/>
      <c r="G12" s="94"/>
    </row>
    <row r="13" spans="1:7" ht="20.25" customHeight="1">
      <c r="A13" s="402"/>
      <c r="B13" s="403"/>
      <c r="C13" s="404"/>
      <c r="D13" s="405"/>
      <c r="E13" s="406"/>
      <c r="F13" s="407"/>
      <c r="G13" s="94"/>
    </row>
    <row r="14" spans="1:7" ht="19.5" customHeight="1">
      <c r="A14" s="402"/>
      <c r="B14" s="403"/>
      <c r="C14" s="404"/>
      <c r="D14" s="405"/>
      <c r="E14" s="406"/>
      <c r="F14" s="407"/>
      <c r="G14" s="94"/>
    </row>
    <row r="15" spans="1:7" ht="20.25" customHeight="1">
      <c r="A15" s="402"/>
      <c r="B15" s="403"/>
      <c r="C15" s="404"/>
      <c r="D15" s="405"/>
      <c r="E15" s="408"/>
      <c r="F15" s="409"/>
      <c r="G15" s="94"/>
    </row>
    <row r="16" spans="1:7" ht="20.25" customHeight="1">
      <c r="A16" s="402"/>
      <c r="B16" s="403"/>
      <c r="C16" s="404"/>
      <c r="D16" s="405"/>
      <c r="E16" s="410"/>
      <c r="F16" s="409"/>
      <c r="G16" s="94"/>
    </row>
    <row r="17" spans="1:7" ht="20.25" customHeight="1">
      <c r="A17" s="402"/>
      <c r="B17" s="403"/>
      <c r="C17" s="404"/>
      <c r="D17" s="405"/>
      <c r="E17" s="406"/>
      <c r="F17" s="407"/>
      <c r="G17" s="94"/>
    </row>
    <row r="18" spans="1:7" ht="20.25" customHeight="1">
      <c r="A18" s="402"/>
      <c r="B18" s="403"/>
      <c r="C18" s="404"/>
      <c r="D18" s="405"/>
      <c r="E18" s="406"/>
      <c r="F18" s="407"/>
      <c r="G18" s="94"/>
    </row>
    <row r="19" spans="1:7" ht="20.25" customHeight="1">
      <c r="A19" s="402"/>
      <c r="B19" s="403"/>
      <c r="C19" s="404"/>
      <c r="D19" s="405"/>
      <c r="E19" s="406"/>
      <c r="F19" s="407"/>
      <c r="G19" s="94"/>
    </row>
    <row r="20" spans="1:7" ht="20.25" customHeight="1">
      <c r="A20" s="402"/>
      <c r="B20" s="403"/>
      <c r="C20" s="404"/>
      <c r="D20" s="405"/>
      <c r="E20" s="406"/>
      <c r="F20" s="407"/>
      <c r="G20" s="94"/>
    </row>
    <row r="21" spans="1:7" ht="19.5" customHeight="1">
      <c r="A21" s="402"/>
      <c r="B21" s="403"/>
      <c r="C21" s="404"/>
      <c r="D21" s="405"/>
      <c r="E21" s="410"/>
      <c r="F21" s="409"/>
      <c r="G21" s="94"/>
    </row>
    <row r="22" spans="1:7" ht="19.5" customHeight="1">
      <c r="A22" s="402"/>
      <c r="B22" s="403"/>
      <c r="C22" s="404"/>
      <c r="D22" s="405"/>
      <c r="E22" s="410"/>
      <c r="F22" s="409"/>
      <c r="G22" s="94"/>
    </row>
    <row r="23" spans="1:7" ht="21" customHeight="1">
      <c r="A23" s="402"/>
      <c r="B23" s="403"/>
      <c r="C23" s="404"/>
      <c r="D23" s="405"/>
      <c r="E23" s="410"/>
      <c r="F23" s="409"/>
      <c r="G23" s="94"/>
    </row>
    <row r="24" spans="1:7" ht="20.25" customHeight="1">
      <c r="A24" s="402"/>
      <c r="B24" s="403"/>
      <c r="C24" s="404"/>
      <c r="D24" s="405"/>
      <c r="E24" s="410"/>
      <c r="F24" s="409"/>
      <c r="G24" s="94"/>
    </row>
    <row r="25" spans="1:7" ht="18" customHeight="1">
      <c r="A25" s="402"/>
      <c r="B25" s="403"/>
      <c r="C25" s="404"/>
      <c r="D25" s="405"/>
      <c r="E25" s="408"/>
      <c r="F25" s="409"/>
      <c r="G25" s="94"/>
    </row>
    <row r="26" spans="1:7" ht="18" customHeight="1">
      <c r="A26" s="402"/>
      <c r="B26" s="403"/>
      <c r="C26" s="404"/>
      <c r="D26" s="405"/>
      <c r="E26" s="408"/>
      <c r="F26" s="409"/>
      <c r="G26" s="94"/>
    </row>
    <row r="27" spans="1:7" ht="18" customHeight="1">
      <c r="A27" s="402"/>
      <c r="B27" s="403"/>
      <c r="C27" s="404"/>
      <c r="D27" s="405"/>
      <c r="E27" s="408"/>
      <c r="F27" s="409"/>
      <c r="G27" s="94"/>
    </row>
    <row r="28" spans="1:7" ht="18" customHeight="1">
      <c r="A28" s="402"/>
      <c r="B28" s="403"/>
      <c r="C28" s="404"/>
      <c r="D28" s="405"/>
      <c r="E28" s="408"/>
      <c r="F28" s="409"/>
      <c r="G28" s="94"/>
    </row>
    <row r="29" spans="1:7" ht="18" customHeight="1">
      <c r="A29" s="402"/>
      <c r="B29" s="403"/>
      <c r="C29" s="404"/>
      <c r="D29" s="405"/>
      <c r="E29" s="408"/>
      <c r="F29" s="409"/>
      <c r="G29" s="94"/>
    </row>
    <row r="30" spans="1:7" ht="18" customHeight="1">
      <c r="A30" s="411"/>
      <c r="B30" s="414"/>
      <c r="C30" s="412"/>
      <c r="D30" s="413"/>
      <c r="E30" s="419"/>
      <c r="F30" s="420"/>
      <c r="G30" s="94"/>
    </row>
    <row r="31" spans="1:7" ht="18" customHeight="1">
      <c r="A31" s="415" t="s">
        <v>34</v>
      </c>
      <c r="B31" s="416"/>
      <c r="C31" s="417" t="s">
        <v>71</v>
      </c>
      <c r="D31" s="417"/>
      <c r="E31" s="417"/>
      <c r="F31" s="418"/>
      <c r="G31" s="94"/>
    </row>
    <row r="32" spans="1:7" ht="16.5" customHeight="1">
      <c r="A32" s="392"/>
      <c r="B32" s="393"/>
      <c r="C32" s="97"/>
      <c r="D32" s="98" t="s">
        <v>72</v>
      </c>
      <c r="E32" s="98" t="s">
        <v>73</v>
      </c>
      <c r="F32" s="99"/>
      <c r="G32" s="94"/>
    </row>
    <row r="33" spans="1:7" ht="15" customHeight="1">
      <c r="A33" s="392"/>
      <c r="B33" s="393"/>
      <c r="C33" s="396"/>
      <c r="D33" s="396"/>
      <c r="E33" s="390" t="s">
        <v>74</v>
      </c>
      <c r="F33" s="99"/>
      <c r="G33" s="94"/>
    </row>
    <row r="34" spans="1:7">
      <c r="A34" s="392"/>
      <c r="B34" s="393"/>
      <c r="C34" s="396"/>
      <c r="D34" s="396"/>
      <c r="E34" s="390"/>
      <c r="F34" s="99"/>
      <c r="G34" s="94"/>
    </row>
    <row r="35" spans="1:7">
      <c r="A35" s="392"/>
      <c r="B35" s="393"/>
      <c r="C35" s="396"/>
      <c r="D35" s="396"/>
      <c r="E35" s="390" t="s">
        <v>74</v>
      </c>
      <c r="F35" s="99"/>
      <c r="G35" s="94"/>
    </row>
    <row r="36" spans="1:7" ht="14.25" customHeight="1">
      <c r="A36" s="392"/>
      <c r="B36" s="393"/>
      <c r="C36" s="396"/>
      <c r="D36" s="396"/>
      <c r="E36" s="390"/>
      <c r="F36" s="99"/>
      <c r="G36" s="94"/>
    </row>
    <row r="37" spans="1:7">
      <c r="A37" s="392"/>
      <c r="B37" s="393"/>
      <c r="C37" s="396"/>
      <c r="D37" s="396"/>
      <c r="E37" s="390" t="s">
        <v>74</v>
      </c>
      <c r="F37" s="99"/>
      <c r="G37" s="94"/>
    </row>
    <row r="38" spans="1:7" ht="15" customHeight="1">
      <c r="A38" s="392"/>
      <c r="B38" s="393"/>
      <c r="C38" s="396"/>
      <c r="D38" s="396"/>
      <c r="E38" s="390"/>
      <c r="F38" s="99"/>
      <c r="G38" s="94"/>
    </row>
    <row r="39" spans="1:7">
      <c r="A39" s="392"/>
      <c r="B39" s="393"/>
      <c r="C39" s="396"/>
      <c r="D39" s="396"/>
      <c r="E39" s="390" t="s">
        <v>74</v>
      </c>
      <c r="F39" s="99"/>
      <c r="G39" s="94"/>
    </row>
    <row r="40" spans="1:7">
      <c r="A40" s="392"/>
      <c r="B40" s="393"/>
      <c r="C40" s="396"/>
      <c r="D40" s="396"/>
      <c r="E40" s="390"/>
      <c r="F40" s="99"/>
      <c r="G40" s="94"/>
    </row>
    <row r="41" spans="1:7">
      <c r="A41" s="392"/>
      <c r="B41" s="393"/>
      <c r="C41" s="396"/>
      <c r="D41" s="396"/>
      <c r="E41" s="390" t="s">
        <v>74</v>
      </c>
      <c r="F41" s="99"/>
      <c r="G41" s="94"/>
    </row>
    <row r="42" spans="1:7">
      <c r="A42" s="394"/>
      <c r="B42" s="395"/>
      <c r="C42" s="397"/>
      <c r="D42" s="397"/>
      <c r="E42" s="391"/>
      <c r="F42" s="100"/>
    </row>
  </sheetData>
  <customSheetViews>
    <customSheetView guid="{C6C9D365-9CBD-4E82-B926-462D1894A3DD}">
      <pageMargins left="0.7" right="0.7" top="0.75" bottom="0.75" header="0.3" footer="0.3"/>
    </customSheetView>
  </customSheetViews>
  <mergeCells count="98">
    <mergeCell ref="C7:D7"/>
    <mergeCell ref="E7:F7"/>
    <mergeCell ref="C8:D8"/>
    <mergeCell ref="E8:F8"/>
    <mergeCell ref="C9:D9"/>
    <mergeCell ref="E9:F9"/>
    <mergeCell ref="C4:D4"/>
    <mergeCell ref="E4:F4"/>
    <mergeCell ref="C5:D5"/>
    <mergeCell ref="E5:F5"/>
    <mergeCell ref="C6:D6"/>
    <mergeCell ref="E6:F6"/>
    <mergeCell ref="C10:D10"/>
    <mergeCell ref="E10:F10"/>
    <mergeCell ref="C11:D11"/>
    <mergeCell ref="E11:F11"/>
    <mergeCell ref="C14:D14"/>
    <mergeCell ref="E14:F14"/>
    <mergeCell ref="C12:D12"/>
    <mergeCell ref="E12:F12"/>
    <mergeCell ref="C13:D13"/>
    <mergeCell ref="E13:F13"/>
    <mergeCell ref="E30:F30"/>
    <mergeCell ref="C20:D20"/>
    <mergeCell ref="E20:F20"/>
    <mergeCell ref="C21:D21"/>
    <mergeCell ref="E21:F21"/>
    <mergeCell ref="E27:F27"/>
    <mergeCell ref="E29:F29"/>
    <mergeCell ref="E28:F28"/>
    <mergeCell ref="A31:B31"/>
    <mergeCell ref="C31:F31"/>
    <mergeCell ref="C22:D22"/>
    <mergeCell ref="E22:F22"/>
    <mergeCell ref="C23:D23"/>
    <mergeCell ref="E23:F23"/>
    <mergeCell ref="C24:D24"/>
    <mergeCell ref="E24:F24"/>
    <mergeCell ref="C25:D25"/>
    <mergeCell ref="E25:F25"/>
    <mergeCell ref="C26:D26"/>
    <mergeCell ref="E26:F26"/>
    <mergeCell ref="B23:B24"/>
    <mergeCell ref="B25:B26"/>
    <mergeCell ref="B27:B28"/>
    <mergeCell ref="A23:A24"/>
    <mergeCell ref="A25:A26"/>
    <mergeCell ref="A27:A28"/>
    <mergeCell ref="A29:A30"/>
    <mergeCell ref="C30:D30"/>
    <mergeCell ref="B29:B30"/>
    <mergeCell ref="C27:D27"/>
    <mergeCell ref="C28:D28"/>
    <mergeCell ref="C29:D29"/>
    <mergeCell ref="C19:D19"/>
    <mergeCell ref="E19:F19"/>
    <mergeCell ref="B15:B16"/>
    <mergeCell ref="B17:B18"/>
    <mergeCell ref="B19:B20"/>
    <mergeCell ref="C15:D15"/>
    <mergeCell ref="E15:F15"/>
    <mergeCell ref="C16:D16"/>
    <mergeCell ref="E16:F16"/>
    <mergeCell ref="C17:D17"/>
    <mergeCell ref="E17:F17"/>
    <mergeCell ref="C18:D18"/>
    <mergeCell ref="E18:F18"/>
    <mergeCell ref="B21:B22"/>
    <mergeCell ref="A15:A16"/>
    <mergeCell ref="A17:A18"/>
    <mergeCell ref="A19:A20"/>
    <mergeCell ref="A21:A22"/>
    <mergeCell ref="B5:B6"/>
    <mergeCell ref="B7:B8"/>
    <mergeCell ref="B9:B10"/>
    <mergeCell ref="B11:B12"/>
    <mergeCell ref="B13:B14"/>
    <mergeCell ref="A5:A6"/>
    <mergeCell ref="A7:A8"/>
    <mergeCell ref="A9:A10"/>
    <mergeCell ref="A11:A12"/>
    <mergeCell ref="A13:A14"/>
    <mergeCell ref="E39:E40"/>
    <mergeCell ref="E41:E42"/>
    <mergeCell ref="A32:B42"/>
    <mergeCell ref="C33:C34"/>
    <mergeCell ref="C35:C36"/>
    <mergeCell ref="C37:C38"/>
    <mergeCell ref="C39:C40"/>
    <mergeCell ref="C41:C42"/>
    <mergeCell ref="D33:D34"/>
    <mergeCell ref="D35:D36"/>
    <mergeCell ref="D37:D38"/>
    <mergeCell ref="D39:D40"/>
    <mergeCell ref="D41:D42"/>
    <mergeCell ref="E33:E34"/>
    <mergeCell ref="E35:E36"/>
    <mergeCell ref="E37:E38"/>
  </mergeCells>
  <pageMargins left="0" right="1.44345238095238E-2" top="0" bottom="0" header="0" footer="0"/>
  <pageSetup scale="9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5"/>
  <sheetViews>
    <sheetView view="pageLayout" zoomScaleNormal="100" workbookViewId="0">
      <selection activeCell="C12" sqref="C12:D12"/>
    </sheetView>
  </sheetViews>
  <sheetFormatPr defaultColWidth="9.140625" defaultRowHeight="15"/>
  <cols>
    <col min="1" max="1" width="8.7109375" customWidth="1"/>
    <col min="2" max="2" width="14" customWidth="1"/>
    <col min="3" max="3" width="11.5703125" customWidth="1"/>
    <col min="4" max="4" width="12.140625" customWidth="1"/>
    <col min="7" max="7" width="1.5703125" customWidth="1"/>
    <col min="8" max="8" width="8.7109375" customWidth="1"/>
    <col min="9" max="9" width="15.28515625" customWidth="1"/>
    <col min="10" max="10" width="13.42578125" customWidth="1"/>
    <col min="11" max="11" width="11.85546875" customWidth="1"/>
  </cols>
  <sheetData>
    <row r="1" spans="1:13">
      <c r="A1" s="55" t="s">
        <v>75</v>
      </c>
      <c r="B1" s="441">
        <f>'JOB ESTIMATE'!C9</f>
        <v>0</v>
      </c>
      <c r="C1" s="441"/>
      <c r="D1" s="56" t="s">
        <v>76</v>
      </c>
      <c r="E1" s="466" t="str">
        <f>'JOB ESTIMATE'!A12</f>
        <v xml:space="preserve"> </v>
      </c>
      <c r="F1" s="467"/>
      <c r="G1" s="57"/>
      <c r="H1" s="55" t="s">
        <v>75</v>
      </c>
      <c r="I1" s="441">
        <f>B1</f>
        <v>0</v>
      </c>
      <c r="J1" s="441"/>
      <c r="K1" s="56" t="s">
        <v>76</v>
      </c>
      <c r="L1" s="468" t="str">
        <f>E1</f>
        <v xml:space="preserve"> </v>
      </c>
      <c r="M1" s="467"/>
    </row>
    <row r="2" spans="1:13" ht="14.25" customHeight="1">
      <c r="A2" s="58"/>
      <c r="B2" s="442"/>
      <c r="C2" s="442"/>
      <c r="D2" s="59"/>
      <c r="E2" s="60"/>
      <c r="F2" s="61"/>
      <c r="G2" s="57"/>
      <c r="H2" s="58"/>
      <c r="I2" s="442"/>
      <c r="J2" s="442"/>
      <c r="K2" s="59"/>
      <c r="L2" s="60"/>
      <c r="M2" s="61"/>
    </row>
    <row r="3" spans="1:13">
      <c r="A3" s="62" t="s">
        <v>77</v>
      </c>
      <c r="B3" s="63"/>
      <c r="C3" s="63"/>
      <c r="D3" s="59" t="s">
        <v>5</v>
      </c>
      <c r="E3" s="64"/>
      <c r="F3" s="65"/>
      <c r="G3" s="57"/>
      <c r="H3" s="62" t="s">
        <v>77</v>
      </c>
      <c r="I3" s="63"/>
      <c r="J3" s="63"/>
      <c r="K3" s="59" t="s">
        <v>5</v>
      </c>
      <c r="L3" s="64"/>
      <c r="M3" s="65"/>
    </row>
    <row r="4" spans="1:13">
      <c r="A4" s="469">
        <f>'JOB ESTIMATE'!H11</f>
        <v>0</v>
      </c>
      <c r="B4" s="470"/>
      <c r="C4" s="470"/>
      <c r="D4" s="63"/>
      <c r="E4" s="471">
        <f>'JOB ESTIMATE'!A9</f>
        <v>0</v>
      </c>
      <c r="F4" s="472"/>
      <c r="G4" s="57"/>
      <c r="H4" s="469">
        <f>A4</f>
        <v>0</v>
      </c>
      <c r="I4" s="470"/>
      <c r="J4" s="470"/>
      <c r="K4" s="63"/>
      <c r="L4" s="471">
        <f>E4</f>
        <v>0</v>
      </c>
      <c r="M4" s="472"/>
    </row>
    <row r="5" spans="1:13">
      <c r="A5" s="66" t="s">
        <v>78</v>
      </c>
      <c r="B5" s="67"/>
      <c r="C5" s="68"/>
      <c r="D5" s="59" t="s">
        <v>79</v>
      </c>
      <c r="E5" s="64"/>
      <c r="F5" s="65"/>
      <c r="G5" s="57"/>
      <c r="H5" s="66" t="s">
        <v>78</v>
      </c>
      <c r="I5" s="67"/>
      <c r="J5" s="68"/>
      <c r="K5" s="59" t="s">
        <v>79</v>
      </c>
      <c r="L5" s="64"/>
      <c r="M5" s="65"/>
    </row>
    <row r="6" spans="1:13">
      <c r="A6" s="473">
        <f>'JOB ESTIMATE'!H15</f>
        <v>0</v>
      </c>
      <c r="B6" s="474"/>
      <c r="C6" s="474"/>
      <c r="D6" s="68"/>
      <c r="E6" s="475">
        <f>'JOB ESTIMATE'!K18</f>
        <v>0</v>
      </c>
      <c r="F6" s="476"/>
      <c r="G6" s="57"/>
      <c r="H6" s="473">
        <f>A6</f>
        <v>0</v>
      </c>
      <c r="I6" s="474"/>
      <c r="J6" s="474"/>
      <c r="K6" s="68"/>
      <c r="L6" s="475">
        <f>E6</f>
        <v>0</v>
      </c>
      <c r="M6" s="476"/>
    </row>
    <row r="7" spans="1:13" ht="15" customHeight="1">
      <c r="A7" s="69"/>
      <c r="B7" s="70"/>
      <c r="C7" s="435" t="s">
        <v>80</v>
      </c>
      <c r="D7" s="435"/>
      <c r="E7" s="435"/>
      <c r="F7" s="436"/>
      <c r="G7" s="57"/>
      <c r="H7" s="69"/>
      <c r="I7" s="70"/>
      <c r="J7" s="435" t="s">
        <v>80</v>
      </c>
      <c r="K7" s="435"/>
      <c r="L7" s="435"/>
      <c r="M7" s="436"/>
    </row>
    <row r="8" spans="1:13" ht="15" customHeight="1">
      <c r="A8" s="71"/>
      <c r="B8" s="72"/>
      <c r="C8" s="437"/>
      <c r="D8" s="437"/>
      <c r="E8" s="437"/>
      <c r="F8" s="438"/>
      <c r="G8" s="57"/>
      <c r="H8" s="71"/>
      <c r="I8" s="72"/>
      <c r="J8" s="437"/>
      <c r="K8" s="437"/>
      <c r="L8" s="437"/>
      <c r="M8" s="438"/>
    </row>
    <row r="9" spans="1:13" ht="15.75" customHeight="1">
      <c r="A9" s="73"/>
      <c r="B9" s="74"/>
      <c r="C9" s="439"/>
      <c r="D9" s="439"/>
      <c r="E9" s="439"/>
      <c r="F9" s="440"/>
      <c r="G9" s="57"/>
      <c r="H9" s="73"/>
      <c r="I9" s="74"/>
      <c r="J9" s="439"/>
      <c r="K9" s="439"/>
      <c r="L9" s="439"/>
      <c r="M9" s="440"/>
    </row>
    <row r="10" spans="1:13" ht="30.75" customHeight="1" thickBot="1">
      <c r="A10" s="75" t="s">
        <v>81</v>
      </c>
      <c r="B10" s="76" t="s">
        <v>82</v>
      </c>
      <c r="C10" s="459" t="s">
        <v>33</v>
      </c>
      <c r="D10" s="459"/>
      <c r="E10" s="460" t="s">
        <v>83</v>
      </c>
      <c r="F10" s="461"/>
      <c r="G10" s="57"/>
      <c r="H10" s="75" t="s">
        <v>81</v>
      </c>
      <c r="I10" s="76" t="s">
        <v>82</v>
      </c>
      <c r="J10" s="459" t="s">
        <v>33</v>
      </c>
      <c r="K10" s="459"/>
      <c r="L10" s="460" t="s">
        <v>83</v>
      </c>
      <c r="M10" s="461"/>
    </row>
    <row r="11" spans="1:13" ht="16.5" thickBot="1">
      <c r="A11" s="77">
        <f>'JOB ESTIMATE'!I34</f>
        <v>0</v>
      </c>
      <c r="B11" s="78">
        <f>'JOB ESTIMATE'!A34</f>
        <v>0</v>
      </c>
      <c r="C11" s="443">
        <f>'JOB ESTIMATE'!E34</f>
        <v>0</v>
      </c>
      <c r="D11" s="444"/>
      <c r="E11" s="462"/>
      <c r="F11" s="463"/>
      <c r="G11" s="79"/>
      <c r="H11" s="77">
        <f>A11</f>
        <v>0</v>
      </c>
      <c r="I11" s="78">
        <f>B11</f>
        <v>0</v>
      </c>
      <c r="J11" s="458">
        <f>C11</f>
        <v>0</v>
      </c>
      <c r="K11" s="458"/>
      <c r="L11" s="464"/>
      <c r="M11" s="465"/>
    </row>
    <row r="12" spans="1:13" ht="16.5" thickBot="1">
      <c r="A12" s="77">
        <f>'JOB ESTIMATE'!I35</f>
        <v>0</v>
      </c>
      <c r="B12" s="216">
        <f>'JOB ESTIMATE'!A35</f>
        <v>0</v>
      </c>
      <c r="C12" s="443">
        <f>'JOB ESTIMATE'!E35</f>
        <v>0</v>
      </c>
      <c r="D12" s="444"/>
      <c r="E12" s="456"/>
      <c r="F12" s="457"/>
      <c r="G12" s="79"/>
      <c r="H12" s="77">
        <f t="shared" ref="H12:H17" si="0">A12</f>
        <v>0</v>
      </c>
      <c r="I12" s="216">
        <f t="shared" ref="I12:I17" si="1">B12</f>
        <v>0</v>
      </c>
      <c r="J12" s="458">
        <f t="shared" ref="J12:J17" si="2">C12</f>
        <v>0</v>
      </c>
      <c r="K12" s="458"/>
      <c r="L12" s="449"/>
      <c r="M12" s="450"/>
    </row>
    <row r="13" spans="1:13" ht="16.5" thickBot="1">
      <c r="A13" s="77">
        <f>'JOB ESTIMATE'!I36</f>
        <v>0</v>
      </c>
      <c r="B13" s="216">
        <f>'JOB ESTIMATE'!A36</f>
        <v>0</v>
      </c>
      <c r="C13" s="443">
        <f>'JOB ESTIMATE'!E36</f>
        <v>0</v>
      </c>
      <c r="D13" s="444"/>
      <c r="E13" s="456"/>
      <c r="F13" s="457"/>
      <c r="G13" s="79"/>
      <c r="H13" s="77">
        <f t="shared" si="0"/>
        <v>0</v>
      </c>
      <c r="I13" s="216">
        <f t="shared" si="1"/>
        <v>0</v>
      </c>
      <c r="J13" s="458">
        <f t="shared" si="2"/>
        <v>0</v>
      </c>
      <c r="K13" s="458"/>
      <c r="L13" s="449"/>
      <c r="M13" s="450"/>
    </row>
    <row r="14" spans="1:13" ht="16.5" thickBot="1">
      <c r="A14" s="77">
        <f>'JOB ESTIMATE'!I37</f>
        <v>0</v>
      </c>
      <c r="B14" s="216">
        <f>'JOB ESTIMATE'!A37</f>
        <v>0</v>
      </c>
      <c r="C14" s="443">
        <f>'JOB ESTIMATE'!E37</f>
        <v>0</v>
      </c>
      <c r="D14" s="444"/>
      <c r="E14" s="456"/>
      <c r="F14" s="457"/>
      <c r="G14" s="79"/>
      <c r="H14" s="77">
        <f t="shared" si="0"/>
        <v>0</v>
      </c>
      <c r="I14" s="216">
        <f t="shared" si="1"/>
        <v>0</v>
      </c>
      <c r="J14" s="458">
        <f t="shared" si="2"/>
        <v>0</v>
      </c>
      <c r="K14" s="458"/>
      <c r="L14" s="449"/>
      <c r="M14" s="450"/>
    </row>
    <row r="15" spans="1:13" ht="16.5" thickBot="1">
      <c r="A15" s="77">
        <f>'JOB ESTIMATE'!I38</f>
        <v>0</v>
      </c>
      <c r="B15" s="216">
        <f>'JOB ESTIMATE'!A38</f>
        <v>0</v>
      </c>
      <c r="C15" s="443">
        <f>'JOB ESTIMATE'!E38</f>
        <v>0</v>
      </c>
      <c r="D15" s="444"/>
      <c r="E15" s="456"/>
      <c r="F15" s="457"/>
      <c r="G15" s="79"/>
      <c r="H15" s="77">
        <f t="shared" si="0"/>
        <v>0</v>
      </c>
      <c r="I15" s="216">
        <f t="shared" si="1"/>
        <v>0</v>
      </c>
      <c r="J15" s="458">
        <f t="shared" si="2"/>
        <v>0</v>
      </c>
      <c r="K15" s="458"/>
      <c r="L15" s="449"/>
      <c r="M15" s="450"/>
    </row>
    <row r="16" spans="1:13" ht="16.5" thickBot="1">
      <c r="A16" s="77">
        <f>'JOB ESTIMATE'!I39</f>
        <v>0</v>
      </c>
      <c r="B16" s="216">
        <f>'JOB ESTIMATE'!A39</f>
        <v>0</v>
      </c>
      <c r="C16" s="443">
        <f>'JOB ESTIMATE'!E39</f>
        <v>0</v>
      </c>
      <c r="D16" s="444"/>
      <c r="E16" s="456"/>
      <c r="F16" s="457"/>
      <c r="G16" s="79"/>
      <c r="H16" s="77">
        <f t="shared" si="0"/>
        <v>0</v>
      </c>
      <c r="I16" s="216">
        <f t="shared" si="1"/>
        <v>0</v>
      </c>
      <c r="J16" s="458">
        <f t="shared" si="2"/>
        <v>0</v>
      </c>
      <c r="K16" s="458"/>
      <c r="L16" s="449"/>
      <c r="M16" s="450"/>
    </row>
    <row r="17" spans="1:13" ht="16.5" thickBot="1">
      <c r="A17" s="77">
        <f>'JOB ESTIMATE'!I40</f>
        <v>0</v>
      </c>
      <c r="B17" s="216">
        <f>'JOB ESTIMATE'!A40</f>
        <v>0</v>
      </c>
      <c r="C17" s="443">
        <f>'JOB ESTIMATE'!E40</f>
        <v>0</v>
      </c>
      <c r="D17" s="444"/>
      <c r="E17" s="456"/>
      <c r="F17" s="457"/>
      <c r="G17" s="79"/>
      <c r="H17" s="77">
        <f t="shared" si="0"/>
        <v>0</v>
      </c>
      <c r="I17" s="216">
        <f t="shared" si="1"/>
        <v>0</v>
      </c>
      <c r="J17" s="458">
        <f t="shared" si="2"/>
        <v>0</v>
      </c>
      <c r="K17" s="458"/>
      <c r="L17" s="449"/>
      <c r="M17" s="450"/>
    </row>
    <row r="18" spans="1:13" ht="16.5" thickBot="1">
      <c r="A18" s="77"/>
      <c r="B18" s="78"/>
      <c r="C18" s="443"/>
      <c r="D18" s="444"/>
      <c r="E18" s="456"/>
      <c r="F18" s="457"/>
      <c r="G18" s="79"/>
      <c r="H18" s="80"/>
      <c r="I18" s="81"/>
      <c r="J18" s="447"/>
      <c r="K18" s="447"/>
      <c r="L18" s="449"/>
      <c r="M18" s="450"/>
    </row>
    <row r="19" spans="1:13" ht="15.75">
      <c r="A19" s="80"/>
      <c r="B19" s="81"/>
      <c r="C19" s="445" t="str">
        <f>'JOB ESTIMATE'!E43</f>
        <v>Sundries</v>
      </c>
      <c r="D19" s="446"/>
      <c r="E19" s="456"/>
      <c r="F19" s="457"/>
      <c r="G19" s="79"/>
      <c r="H19" s="80"/>
      <c r="I19" s="81"/>
      <c r="J19" s="447" t="str">
        <f t="shared" ref="J19" si="3">C19</f>
        <v>Sundries</v>
      </c>
      <c r="K19" s="447"/>
      <c r="L19" s="449"/>
      <c r="M19" s="450"/>
    </row>
    <row r="20" spans="1:13" ht="15.75">
      <c r="A20" s="80">
        <f>'JOB ESTIMATE'!I44</f>
        <v>0</v>
      </c>
      <c r="B20" s="81"/>
      <c r="C20" s="445">
        <f>'JOB ESTIMATE'!E44</f>
        <v>0</v>
      </c>
      <c r="D20" s="446"/>
      <c r="E20" s="456"/>
      <c r="F20" s="457"/>
      <c r="G20" s="79"/>
      <c r="H20" s="80">
        <f>A20</f>
        <v>0</v>
      </c>
      <c r="I20" s="81"/>
      <c r="J20" s="447">
        <f>C20</f>
        <v>0</v>
      </c>
      <c r="K20" s="447"/>
      <c r="L20" s="449"/>
      <c r="M20" s="450"/>
    </row>
    <row r="21" spans="1:13" ht="15.75">
      <c r="A21" s="80">
        <f>'JOB ESTIMATE'!I45</f>
        <v>0</v>
      </c>
      <c r="B21" s="81"/>
      <c r="C21" s="445">
        <f>'JOB ESTIMATE'!E45</f>
        <v>0</v>
      </c>
      <c r="D21" s="446"/>
      <c r="E21" s="456"/>
      <c r="F21" s="457"/>
      <c r="G21" s="79"/>
      <c r="H21" s="80">
        <f t="shared" ref="H21:H26" si="4">A21</f>
        <v>0</v>
      </c>
      <c r="I21" s="81"/>
      <c r="J21" s="447">
        <f t="shared" ref="J21:J26" si="5">C21</f>
        <v>0</v>
      </c>
      <c r="K21" s="447"/>
      <c r="L21" s="449"/>
      <c r="M21" s="450"/>
    </row>
    <row r="22" spans="1:13" ht="15.75">
      <c r="A22" s="80">
        <f>'JOB ESTIMATE'!I46</f>
        <v>0</v>
      </c>
      <c r="B22" s="81"/>
      <c r="C22" s="445">
        <f>'JOB ESTIMATE'!E46</f>
        <v>0</v>
      </c>
      <c r="D22" s="446"/>
      <c r="E22" s="456"/>
      <c r="F22" s="457"/>
      <c r="G22" s="79"/>
      <c r="H22" s="80">
        <f t="shared" si="4"/>
        <v>0</v>
      </c>
      <c r="I22" s="81"/>
      <c r="J22" s="447">
        <f t="shared" si="5"/>
        <v>0</v>
      </c>
      <c r="K22" s="447"/>
      <c r="L22" s="449"/>
      <c r="M22" s="450"/>
    </row>
    <row r="23" spans="1:13" ht="15.75">
      <c r="A23" s="80">
        <f>'JOB ESTIMATE'!I47</f>
        <v>0</v>
      </c>
      <c r="B23" s="81"/>
      <c r="C23" s="445">
        <f>'JOB ESTIMATE'!E47</f>
        <v>0</v>
      </c>
      <c r="D23" s="446"/>
      <c r="E23" s="456"/>
      <c r="F23" s="457"/>
      <c r="G23" s="79"/>
      <c r="H23" s="80">
        <f t="shared" si="4"/>
        <v>0</v>
      </c>
      <c r="I23" s="81"/>
      <c r="J23" s="447">
        <f t="shared" si="5"/>
        <v>0</v>
      </c>
      <c r="K23" s="447"/>
      <c r="L23" s="449"/>
      <c r="M23" s="450"/>
    </row>
    <row r="24" spans="1:13" ht="15.75">
      <c r="A24" s="80">
        <f>'JOB ESTIMATE'!I48</f>
        <v>0</v>
      </c>
      <c r="B24" s="81"/>
      <c r="C24" s="445">
        <f>'JOB ESTIMATE'!E48</f>
        <v>0</v>
      </c>
      <c r="D24" s="446"/>
      <c r="E24" s="452"/>
      <c r="F24" s="453"/>
      <c r="G24" s="79"/>
      <c r="H24" s="80">
        <f t="shared" si="4"/>
        <v>0</v>
      </c>
      <c r="I24" s="81"/>
      <c r="J24" s="447">
        <f t="shared" si="5"/>
        <v>0</v>
      </c>
      <c r="K24" s="447"/>
      <c r="L24" s="454"/>
      <c r="M24" s="455"/>
    </row>
    <row r="25" spans="1:13" ht="15.75">
      <c r="A25" s="80">
        <f>'JOB ESTIMATE'!I49</f>
        <v>0</v>
      </c>
      <c r="B25" s="81"/>
      <c r="C25" s="445">
        <f>'JOB ESTIMATE'!E49</f>
        <v>0</v>
      </c>
      <c r="D25" s="446"/>
      <c r="E25" s="452"/>
      <c r="F25" s="453"/>
      <c r="G25" s="79"/>
      <c r="H25" s="80">
        <f t="shared" si="4"/>
        <v>0</v>
      </c>
      <c r="I25" s="81"/>
      <c r="J25" s="447">
        <f t="shared" si="5"/>
        <v>0</v>
      </c>
      <c r="K25" s="447"/>
      <c r="L25" s="454"/>
      <c r="M25" s="455"/>
    </row>
    <row r="26" spans="1:13" ht="15.75">
      <c r="A26" s="80">
        <f>'JOB ESTIMATE'!I50</f>
        <v>0</v>
      </c>
      <c r="B26" s="81"/>
      <c r="C26" s="445">
        <f>'JOB ESTIMATE'!E50</f>
        <v>0</v>
      </c>
      <c r="D26" s="446"/>
      <c r="E26" s="452"/>
      <c r="F26" s="453"/>
      <c r="G26" s="79"/>
      <c r="H26" s="80">
        <f t="shared" si="4"/>
        <v>0</v>
      </c>
      <c r="I26" s="81"/>
      <c r="J26" s="447">
        <f t="shared" si="5"/>
        <v>0</v>
      </c>
      <c r="K26" s="447"/>
      <c r="L26" s="449"/>
      <c r="M26" s="450"/>
    </row>
    <row r="27" spans="1:13" ht="15.75">
      <c r="A27" s="80"/>
      <c r="B27" s="81"/>
      <c r="C27" s="445"/>
      <c r="D27" s="446"/>
      <c r="E27" s="456"/>
      <c r="F27" s="457"/>
      <c r="G27" s="79"/>
      <c r="H27" s="80"/>
      <c r="I27" s="81"/>
      <c r="J27" s="447"/>
      <c r="K27" s="447"/>
      <c r="L27" s="449"/>
      <c r="M27" s="450"/>
    </row>
    <row r="28" spans="1:13" ht="15.75">
      <c r="A28" s="80"/>
      <c r="B28" s="81"/>
      <c r="C28" s="447"/>
      <c r="D28" s="447"/>
      <c r="E28" s="456"/>
      <c r="F28" s="457"/>
      <c r="G28" s="79"/>
      <c r="H28" s="80"/>
      <c r="I28" s="81"/>
      <c r="J28" s="447"/>
      <c r="K28" s="447"/>
      <c r="L28" s="449"/>
      <c r="M28" s="450"/>
    </row>
    <row r="29" spans="1:13">
      <c r="A29" s="82"/>
      <c r="B29" s="83"/>
      <c r="C29" s="448"/>
      <c r="D29" s="448"/>
      <c r="E29" s="449"/>
      <c r="F29" s="450"/>
      <c r="G29" s="57"/>
      <c r="H29" s="82"/>
      <c r="I29" s="83"/>
      <c r="J29" s="448"/>
      <c r="K29" s="448"/>
      <c r="L29" s="449"/>
      <c r="M29" s="450"/>
    </row>
    <row r="30" spans="1:13">
      <c r="A30" s="82"/>
      <c r="B30" s="84"/>
      <c r="C30" s="451"/>
      <c r="D30" s="451"/>
      <c r="E30" s="449"/>
      <c r="F30" s="450"/>
      <c r="G30" s="57"/>
      <c r="H30" s="82"/>
      <c r="I30" s="84"/>
      <c r="J30" s="451"/>
      <c r="K30" s="451"/>
      <c r="L30" s="449"/>
      <c r="M30" s="450"/>
    </row>
    <row r="31" spans="1:13">
      <c r="A31" s="85" t="s">
        <v>84</v>
      </c>
      <c r="B31" s="86"/>
      <c r="C31" s="64"/>
      <c r="D31" s="86" t="s">
        <v>85</v>
      </c>
      <c r="E31" s="87"/>
      <c r="F31" s="88"/>
      <c r="G31" s="57"/>
      <c r="H31" s="85" t="s">
        <v>84</v>
      </c>
      <c r="I31" s="86"/>
      <c r="J31" s="64"/>
      <c r="K31" s="86" t="s">
        <v>85</v>
      </c>
      <c r="L31" s="87"/>
      <c r="M31" s="88"/>
    </row>
    <row r="32" spans="1:13">
      <c r="A32" s="85"/>
      <c r="B32" s="432"/>
      <c r="C32" s="432"/>
      <c r="D32" s="86"/>
      <c r="E32" s="433"/>
      <c r="F32" s="434"/>
      <c r="G32" s="57"/>
      <c r="H32" s="85"/>
      <c r="I32" s="432"/>
      <c r="J32" s="432"/>
      <c r="K32" s="86"/>
      <c r="L32" s="433"/>
      <c r="M32" s="434"/>
    </row>
    <row r="33" spans="1:13">
      <c r="A33" s="85" t="s">
        <v>86</v>
      </c>
      <c r="B33" s="86"/>
      <c r="C33" s="64"/>
      <c r="D33" s="86" t="s">
        <v>87</v>
      </c>
      <c r="E33" s="87"/>
      <c r="F33" s="89"/>
      <c r="G33" s="57"/>
      <c r="H33" s="85" t="s">
        <v>86</v>
      </c>
      <c r="I33" s="86"/>
      <c r="J33" s="64"/>
      <c r="K33" s="86" t="s">
        <v>87</v>
      </c>
      <c r="L33" s="87"/>
      <c r="M33" s="89"/>
    </row>
    <row r="34" spans="1:13">
      <c r="A34" s="85"/>
      <c r="B34" s="432"/>
      <c r="C34" s="432"/>
      <c r="D34" s="86"/>
      <c r="E34" s="433"/>
      <c r="F34" s="434"/>
      <c r="G34" s="57"/>
      <c r="H34" s="85"/>
      <c r="I34" s="432"/>
      <c r="J34" s="432"/>
      <c r="K34" s="86"/>
      <c r="L34" s="433"/>
      <c r="M34" s="434"/>
    </row>
    <row r="35" spans="1:13">
      <c r="A35" s="90" t="s">
        <v>88</v>
      </c>
      <c r="B35" s="91"/>
      <c r="C35" s="91"/>
      <c r="D35" s="91"/>
      <c r="E35" s="91"/>
      <c r="F35" s="92"/>
      <c r="G35" s="57"/>
      <c r="H35" s="90" t="s">
        <v>89</v>
      </c>
      <c r="I35" s="91"/>
      <c r="J35" s="91"/>
      <c r="K35" s="91"/>
      <c r="L35" s="91"/>
      <c r="M35" s="92"/>
    </row>
  </sheetData>
  <mergeCells count="106">
    <mergeCell ref="E1:F1"/>
    <mergeCell ref="L1:M1"/>
    <mergeCell ref="A4:C4"/>
    <mergeCell ref="E4:F4"/>
    <mergeCell ref="H4:J4"/>
    <mergeCell ref="L4:M4"/>
    <mergeCell ref="A6:C6"/>
    <mergeCell ref="E6:F6"/>
    <mergeCell ref="H6:J6"/>
    <mergeCell ref="L6:M6"/>
    <mergeCell ref="C10:D10"/>
    <mergeCell ref="E10:F10"/>
    <mergeCell ref="J10:K10"/>
    <mergeCell ref="L10:M10"/>
    <mergeCell ref="C11:D11"/>
    <mergeCell ref="E11:F11"/>
    <mergeCell ref="J11:K11"/>
    <mergeCell ref="L11:M11"/>
    <mergeCell ref="C12:D12"/>
    <mergeCell ref="E12:F12"/>
    <mergeCell ref="J12:K12"/>
    <mergeCell ref="L12:M12"/>
    <mergeCell ref="C13:D13"/>
    <mergeCell ref="E13:F13"/>
    <mergeCell ref="J13:K13"/>
    <mergeCell ref="L13:M13"/>
    <mergeCell ref="C14:D14"/>
    <mergeCell ref="E14:F14"/>
    <mergeCell ref="J14:K14"/>
    <mergeCell ref="L14:M14"/>
    <mergeCell ref="E15:F15"/>
    <mergeCell ref="J15:K15"/>
    <mergeCell ref="L15:M15"/>
    <mergeCell ref="C16:D16"/>
    <mergeCell ref="E16:F16"/>
    <mergeCell ref="J16:K16"/>
    <mergeCell ref="L16:M16"/>
    <mergeCell ref="C17:D17"/>
    <mergeCell ref="E17:F17"/>
    <mergeCell ref="J17:K17"/>
    <mergeCell ref="L17:M17"/>
    <mergeCell ref="C18:D18"/>
    <mergeCell ref="E18:F18"/>
    <mergeCell ref="J18:K18"/>
    <mergeCell ref="L18:M18"/>
    <mergeCell ref="C19:D19"/>
    <mergeCell ref="E19:F19"/>
    <mergeCell ref="J19:K19"/>
    <mergeCell ref="L19:M19"/>
    <mergeCell ref="C20:D20"/>
    <mergeCell ref="E20:F20"/>
    <mergeCell ref="J20:K20"/>
    <mergeCell ref="L20:M20"/>
    <mergeCell ref="E21:F21"/>
    <mergeCell ref="J21:K21"/>
    <mergeCell ref="L21:M21"/>
    <mergeCell ref="C21:D21"/>
    <mergeCell ref="C22:D22"/>
    <mergeCell ref="E22:F22"/>
    <mergeCell ref="J22:K22"/>
    <mergeCell ref="L22:M22"/>
    <mergeCell ref="C23:D23"/>
    <mergeCell ref="E23:F23"/>
    <mergeCell ref="J23:K23"/>
    <mergeCell ref="L23:M23"/>
    <mergeCell ref="C24:D24"/>
    <mergeCell ref="E24:F24"/>
    <mergeCell ref="J24:K24"/>
    <mergeCell ref="L24:M24"/>
    <mergeCell ref="E25:F25"/>
    <mergeCell ref="J25:K25"/>
    <mergeCell ref="L25:M25"/>
    <mergeCell ref="C27:D27"/>
    <mergeCell ref="E27:F27"/>
    <mergeCell ref="J27:K27"/>
    <mergeCell ref="L27:M27"/>
    <mergeCell ref="C28:D28"/>
    <mergeCell ref="E28:F28"/>
    <mergeCell ref="J28:K28"/>
    <mergeCell ref="L28:M28"/>
    <mergeCell ref="E26:F26"/>
    <mergeCell ref="L26:M26"/>
    <mergeCell ref="B34:C34"/>
    <mergeCell ref="E34:F34"/>
    <mergeCell ref="I34:J34"/>
    <mergeCell ref="L34:M34"/>
    <mergeCell ref="C7:F9"/>
    <mergeCell ref="J7:M9"/>
    <mergeCell ref="B1:C2"/>
    <mergeCell ref="I1:J2"/>
    <mergeCell ref="C15:D15"/>
    <mergeCell ref="C26:D26"/>
    <mergeCell ref="J26:K26"/>
    <mergeCell ref="C29:D29"/>
    <mergeCell ref="E29:F29"/>
    <mergeCell ref="J29:K29"/>
    <mergeCell ref="L29:M29"/>
    <mergeCell ref="C30:D30"/>
    <mergeCell ref="E30:F30"/>
    <mergeCell ref="J30:K30"/>
    <mergeCell ref="L30:M30"/>
    <mergeCell ref="B32:C32"/>
    <mergeCell ref="E32:F32"/>
    <mergeCell ref="I32:J32"/>
    <mergeCell ref="L32:M32"/>
    <mergeCell ref="C25:D25"/>
  </mergeCells>
  <pageMargins left="0.23622047244094499" right="0.23622047244094499" top="0.35416666666666702" bottom="0.36458333333333298" header="0.31496062992126" footer="0.31496062992126"/>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9"/>
  <sheetViews>
    <sheetView view="pageLayout" zoomScaleNormal="100" workbookViewId="0">
      <selection activeCell="C10" sqref="C10:F10"/>
    </sheetView>
  </sheetViews>
  <sheetFormatPr defaultColWidth="9" defaultRowHeight="15"/>
  <cols>
    <col min="1" max="1" width="18.28515625" customWidth="1"/>
    <col min="2" max="2" width="12.140625" customWidth="1"/>
    <col min="3" max="3" width="10.140625" customWidth="1"/>
    <col min="8" max="8" width="10.42578125" customWidth="1"/>
  </cols>
  <sheetData>
    <row r="1" spans="1:8" s="47" customFormat="1" ht="24" customHeight="1">
      <c r="A1" s="483" t="s">
        <v>90</v>
      </c>
      <c r="B1" s="484"/>
      <c r="C1" s="484"/>
      <c r="D1" s="484"/>
      <c r="E1" s="484"/>
      <c r="F1" s="484"/>
      <c r="G1" s="484"/>
      <c r="H1" s="485"/>
    </row>
    <row r="2" spans="1:8" ht="18.75">
      <c r="A2" s="48" t="s">
        <v>91</v>
      </c>
      <c r="B2" s="49" t="s">
        <v>92</v>
      </c>
      <c r="C2" s="486" t="s">
        <v>93</v>
      </c>
      <c r="D2" s="486"/>
      <c r="E2" s="486"/>
      <c r="F2" s="486"/>
      <c r="G2" s="486" t="s">
        <v>94</v>
      </c>
      <c r="H2" s="487"/>
    </row>
    <row r="3" spans="1:8" ht="29.25" customHeight="1">
      <c r="A3" s="50"/>
      <c r="B3" s="51"/>
      <c r="C3" s="479"/>
      <c r="D3" s="479"/>
      <c r="E3" s="479"/>
      <c r="F3" s="479"/>
      <c r="G3" s="479"/>
      <c r="H3" s="480"/>
    </row>
    <row r="4" spans="1:8" ht="29.25" customHeight="1">
      <c r="A4" s="50"/>
      <c r="B4" s="51"/>
      <c r="C4" s="479"/>
      <c r="D4" s="479"/>
      <c r="E4" s="479"/>
      <c r="F4" s="479"/>
      <c r="G4" s="479"/>
      <c r="H4" s="480"/>
    </row>
    <row r="5" spans="1:8" ht="30" customHeight="1">
      <c r="A5" s="50"/>
      <c r="B5" s="51"/>
      <c r="C5" s="479"/>
      <c r="D5" s="479"/>
      <c r="E5" s="479"/>
      <c r="F5" s="479"/>
      <c r="G5" s="479"/>
      <c r="H5" s="480"/>
    </row>
    <row r="6" spans="1:8" ht="30.75" customHeight="1">
      <c r="A6" s="50"/>
      <c r="B6" s="51"/>
      <c r="C6" s="479"/>
      <c r="D6" s="479"/>
      <c r="E6" s="479"/>
      <c r="F6" s="479"/>
      <c r="G6" s="479"/>
      <c r="H6" s="480"/>
    </row>
    <row r="7" spans="1:8" ht="30" customHeight="1">
      <c r="A7" s="50"/>
      <c r="B7" s="51"/>
      <c r="C7" s="479"/>
      <c r="D7" s="479"/>
      <c r="E7" s="479"/>
      <c r="F7" s="479"/>
      <c r="G7" s="479"/>
      <c r="H7" s="480"/>
    </row>
    <row r="8" spans="1:8" ht="30.75" customHeight="1">
      <c r="A8" s="50"/>
      <c r="B8" s="51"/>
      <c r="C8" s="479"/>
      <c r="D8" s="479"/>
      <c r="E8" s="479"/>
      <c r="F8" s="479"/>
      <c r="G8" s="479"/>
      <c r="H8" s="480"/>
    </row>
    <row r="9" spans="1:8" ht="30" customHeight="1">
      <c r="A9" s="50"/>
      <c r="B9" s="51"/>
      <c r="C9" s="479"/>
      <c r="D9" s="479"/>
      <c r="E9" s="479"/>
      <c r="F9" s="479"/>
      <c r="G9" s="479"/>
      <c r="H9" s="480"/>
    </row>
    <row r="10" spans="1:8" ht="30.75" customHeight="1">
      <c r="A10" s="50"/>
      <c r="B10" s="51"/>
      <c r="C10" s="479"/>
      <c r="D10" s="479"/>
      <c r="E10" s="479"/>
      <c r="F10" s="479"/>
      <c r="G10" s="479"/>
      <c r="H10" s="480"/>
    </row>
    <row r="11" spans="1:8" ht="29.25" customHeight="1">
      <c r="A11" s="50"/>
      <c r="B11" s="51"/>
      <c r="C11" s="479"/>
      <c r="D11" s="479"/>
      <c r="E11" s="479"/>
      <c r="F11" s="479"/>
      <c r="G11" s="479"/>
      <c r="H11" s="480"/>
    </row>
    <row r="12" spans="1:8" ht="30" customHeight="1">
      <c r="A12" s="50"/>
      <c r="B12" s="51"/>
      <c r="C12" s="479"/>
      <c r="D12" s="479"/>
      <c r="E12" s="479"/>
      <c r="F12" s="479"/>
      <c r="G12" s="479"/>
      <c r="H12" s="480"/>
    </row>
    <row r="13" spans="1:8" ht="30.75" customHeight="1">
      <c r="A13" s="50"/>
      <c r="B13" s="51"/>
      <c r="C13" s="479"/>
      <c r="D13" s="479"/>
      <c r="E13" s="479"/>
      <c r="F13" s="479"/>
      <c r="G13" s="479"/>
      <c r="H13" s="480"/>
    </row>
    <row r="14" spans="1:8" ht="30.75" customHeight="1">
      <c r="A14" s="50"/>
      <c r="B14" s="51"/>
      <c r="C14" s="479"/>
      <c r="D14" s="479"/>
      <c r="E14" s="479"/>
      <c r="F14" s="479"/>
      <c r="G14" s="479"/>
      <c r="H14" s="480"/>
    </row>
    <row r="15" spans="1:8" ht="30" customHeight="1">
      <c r="A15" s="50"/>
      <c r="B15" s="51"/>
      <c r="C15" s="479"/>
      <c r="D15" s="479"/>
      <c r="E15" s="479"/>
      <c r="F15" s="479"/>
      <c r="G15" s="479"/>
      <c r="H15" s="480"/>
    </row>
    <row r="16" spans="1:8" ht="29.25" customHeight="1">
      <c r="A16" s="50"/>
      <c r="B16" s="51"/>
      <c r="C16" s="479"/>
      <c r="D16" s="479"/>
      <c r="E16" s="479"/>
      <c r="F16" s="479"/>
      <c r="G16" s="479"/>
      <c r="H16" s="480"/>
    </row>
    <row r="17" spans="1:8" ht="30.75" customHeight="1">
      <c r="A17" s="50"/>
      <c r="B17" s="51"/>
      <c r="C17" s="479"/>
      <c r="D17" s="479"/>
      <c r="E17" s="479"/>
      <c r="F17" s="479"/>
      <c r="G17" s="479"/>
      <c r="H17" s="480"/>
    </row>
    <row r="18" spans="1:8" ht="30" customHeight="1">
      <c r="A18" s="50"/>
      <c r="B18" s="51"/>
      <c r="C18" s="479"/>
      <c r="D18" s="479"/>
      <c r="E18" s="479"/>
      <c r="F18" s="479"/>
      <c r="G18" s="479"/>
      <c r="H18" s="480"/>
    </row>
    <row r="19" spans="1:8" ht="30" customHeight="1">
      <c r="A19" s="50"/>
      <c r="B19" s="51"/>
      <c r="C19" s="479"/>
      <c r="D19" s="479"/>
      <c r="E19" s="479"/>
      <c r="F19" s="479"/>
      <c r="G19" s="479"/>
      <c r="H19" s="480"/>
    </row>
    <row r="20" spans="1:8" ht="30" customHeight="1">
      <c r="A20" s="50"/>
      <c r="B20" s="51"/>
      <c r="C20" s="479"/>
      <c r="D20" s="479"/>
      <c r="E20" s="479"/>
      <c r="F20" s="479"/>
      <c r="G20" s="479"/>
      <c r="H20" s="480"/>
    </row>
    <row r="21" spans="1:8" ht="30" customHeight="1">
      <c r="A21" s="50"/>
      <c r="B21" s="51"/>
      <c r="C21" s="479"/>
      <c r="D21" s="479"/>
      <c r="E21" s="479"/>
      <c r="F21" s="479"/>
      <c r="G21" s="479"/>
      <c r="H21" s="480"/>
    </row>
    <row r="22" spans="1:8" ht="30.75" customHeight="1">
      <c r="A22" s="50"/>
      <c r="B22" s="51"/>
      <c r="C22" s="479"/>
      <c r="D22" s="479"/>
      <c r="E22" s="479"/>
      <c r="F22" s="479"/>
      <c r="G22" s="479"/>
      <c r="H22" s="480"/>
    </row>
    <row r="23" spans="1:8" ht="29.25" customHeight="1">
      <c r="A23" s="50"/>
      <c r="B23" s="51"/>
      <c r="C23" s="479"/>
      <c r="D23" s="479"/>
      <c r="E23" s="479"/>
      <c r="F23" s="479"/>
      <c r="G23" s="479"/>
      <c r="H23" s="480"/>
    </row>
    <row r="24" spans="1:8" ht="30" customHeight="1">
      <c r="A24" s="50"/>
      <c r="B24" s="51"/>
      <c r="C24" s="479"/>
      <c r="D24" s="479"/>
      <c r="E24" s="479"/>
      <c r="F24" s="479"/>
      <c r="G24" s="479"/>
      <c r="H24" s="480"/>
    </row>
    <row r="25" spans="1:8" ht="31.5" customHeight="1">
      <c r="A25" s="52"/>
      <c r="B25" s="53"/>
      <c r="C25" s="481"/>
      <c r="D25" s="481"/>
      <c r="E25" s="481"/>
      <c r="F25" s="481"/>
      <c r="G25" s="481"/>
      <c r="H25" s="482"/>
    </row>
    <row r="26" spans="1:8">
      <c r="A26" s="54"/>
      <c r="B26" s="54"/>
      <c r="C26" s="478"/>
      <c r="D26" s="478"/>
      <c r="E26" s="478"/>
      <c r="F26" s="478"/>
      <c r="G26" s="478"/>
      <c r="H26" s="478"/>
    </row>
    <row r="27" spans="1:8">
      <c r="A27" s="54"/>
      <c r="B27" s="54"/>
      <c r="C27" s="478"/>
      <c r="D27" s="478"/>
      <c r="E27" s="478"/>
      <c r="F27" s="478"/>
      <c r="G27" s="478"/>
      <c r="H27" s="478"/>
    </row>
    <row r="28" spans="1:8">
      <c r="A28" s="54"/>
      <c r="B28" s="54"/>
      <c r="C28" s="478"/>
      <c r="D28" s="478"/>
      <c r="E28" s="478"/>
      <c r="F28" s="478"/>
      <c r="G28" s="478"/>
      <c r="H28" s="478"/>
    </row>
    <row r="29" spans="1:8">
      <c r="A29" s="54"/>
      <c r="B29" s="54"/>
      <c r="C29" s="478"/>
      <c r="D29" s="478"/>
      <c r="E29" s="478"/>
      <c r="F29" s="478"/>
      <c r="G29" s="478"/>
      <c r="H29" s="478"/>
    </row>
    <row r="30" spans="1:8">
      <c r="A30" s="54"/>
      <c r="B30" s="54"/>
      <c r="C30" s="478"/>
      <c r="D30" s="478"/>
      <c r="E30" s="478"/>
      <c r="F30" s="478"/>
      <c r="G30" s="478"/>
      <c r="H30" s="478"/>
    </row>
    <row r="31" spans="1:8">
      <c r="A31" s="54"/>
      <c r="B31" s="54"/>
      <c r="C31" s="478"/>
      <c r="D31" s="478"/>
      <c r="E31" s="478"/>
      <c r="F31" s="478"/>
      <c r="G31" s="478"/>
      <c r="H31" s="478"/>
    </row>
    <row r="32" spans="1:8">
      <c r="A32" s="54"/>
      <c r="B32" s="54"/>
      <c r="C32" s="478"/>
      <c r="D32" s="478"/>
      <c r="E32" s="478"/>
      <c r="F32" s="478"/>
      <c r="G32" s="478"/>
      <c r="H32" s="478"/>
    </row>
    <row r="33" spans="1:8">
      <c r="A33" s="54"/>
      <c r="B33" s="54"/>
      <c r="C33" s="478"/>
      <c r="D33" s="478"/>
      <c r="E33" s="478"/>
      <c r="F33" s="478"/>
      <c r="G33" s="478"/>
      <c r="H33" s="478"/>
    </row>
    <row r="34" spans="1:8">
      <c r="A34" s="54"/>
      <c r="B34" s="54"/>
      <c r="C34" s="478"/>
      <c r="D34" s="478"/>
      <c r="E34" s="478"/>
      <c r="F34" s="478"/>
      <c r="G34" s="478"/>
      <c r="H34" s="478"/>
    </row>
    <row r="35" spans="1:8">
      <c r="A35" s="54"/>
      <c r="B35" s="54"/>
      <c r="C35" s="478"/>
      <c r="D35" s="478"/>
      <c r="E35" s="478"/>
      <c r="F35" s="478"/>
      <c r="G35" s="478"/>
      <c r="H35" s="478"/>
    </row>
    <row r="36" spans="1:8">
      <c r="A36" s="54"/>
      <c r="B36" s="54"/>
      <c r="C36" s="478"/>
      <c r="D36" s="478"/>
      <c r="E36" s="478"/>
      <c r="F36" s="478"/>
      <c r="G36" s="478"/>
      <c r="H36" s="478"/>
    </row>
    <row r="37" spans="1:8">
      <c r="A37" s="54"/>
      <c r="B37" s="54"/>
      <c r="C37" s="478"/>
      <c r="D37" s="478"/>
      <c r="E37" s="478"/>
      <c r="F37" s="478"/>
      <c r="G37" s="478"/>
      <c r="H37" s="478"/>
    </row>
    <row r="38" spans="1:8">
      <c r="A38" s="54"/>
      <c r="B38" s="54"/>
      <c r="C38" s="478"/>
      <c r="D38" s="478"/>
      <c r="E38" s="478"/>
      <c r="F38" s="478"/>
      <c r="G38" s="478"/>
      <c r="H38" s="478"/>
    </row>
    <row r="39" spans="1:8">
      <c r="A39" s="54"/>
      <c r="B39" s="54"/>
      <c r="C39" s="478"/>
      <c r="D39" s="478"/>
      <c r="E39" s="478"/>
      <c r="F39" s="478"/>
      <c r="G39" s="478"/>
      <c r="H39" s="478"/>
    </row>
    <row r="40" spans="1:8">
      <c r="A40" s="54"/>
      <c r="B40" s="54"/>
      <c r="C40" s="478"/>
      <c r="D40" s="478"/>
      <c r="E40" s="478"/>
      <c r="F40" s="478"/>
      <c r="G40" s="478"/>
      <c r="H40" s="478"/>
    </row>
    <row r="41" spans="1:8">
      <c r="A41" s="54"/>
      <c r="B41" s="54"/>
      <c r="C41" s="478"/>
      <c r="D41" s="478"/>
      <c r="E41" s="478"/>
      <c r="F41" s="478"/>
      <c r="G41" s="478"/>
      <c r="H41" s="478"/>
    </row>
    <row r="42" spans="1:8">
      <c r="A42" s="54"/>
      <c r="B42" s="54"/>
      <c r="C42" s="478"/>
      <c r="D42" s="478"/>
      <c r="E42" s="478"/>
      <c r="F42" s="478"/>
      <c r="G42" s="478"/>
      <c r="H42" s="478"/>
    </row>
    <row r="43" spans="1:8">
      <c r="C43" s="477"/>
      <c r="D43" s="477"/>
      <c r="E43" s="477"/>
      <c r="F43" s="477"/>
    </row>
    <row r="44" spans="1:8">
      <c r="C44" s="477"/>
      <c r="D44" s="477"/>
      <c r="E44" s="477"/>
      <c r="F44" s="477"/>
    </row>
    <row r="45" spans="1:8">
      <c r="C45" s="477"/>
      <c r="D45" s="477"/>
      <c r="E45" s="477"/>
      <c r="F45" s="477"/>
    </row>
    <row r="46" spans="1:8">
      <c r="C46" s="477"/>
      <c r="D46" s="477"/>
      <c r="E46" s="477"/>
      <c r="F46" s="477"/>
    </row>
    <row r="47" spans="1:8">
      <c r="C47" s="477"/>
      <c r="D47" s="477"/>
      <c r="E47" s="477"/>
      <c r="F47" s="477"/>
    </row>
    <row r="48" spans="1:8">
      <c r="C48" s="477"/>
      <c r="D48" s="477"/>
      <c r="E48" s="477"/>
      <c r="F48" s="477"/>
    </row>
    <row r="49" spans="3:6">
      <c r="C49" s="477"/>
      <c r="D49" s="477"/>
      <c r="E49" s="477"/>
      <c r="F49" s="477"/>
    </row>
    <row r="50" spans="3:6">
      <c r="C50" s="477"/>
      <c r="D50" s="477"/>
      <c r="E50" s="477"/>
      <c r="F50" s="477"/>
    </row>
    <row r="51" spans="3:6">
      <c r="C51" s="477"/>
      <c r="D51" s="477"/>
      <c r="E51" s="477"/>
      <c r="F51" s="477"/>
    </row>
    <row r="52" spans="3:6">
      <c r="C52" s="477"/>
      <c r="D52" s="477"/>
      <c r="E52" s="477"/>
      <c r="F52" s="477"/>
    </row>
    <row r="53" spans="3:6">
      <c r="C53" s="477"/>
      <c r="D53" s="477"/>
      <c r="E53" s="477"/>
      <c r="F53" s="477"/>
    </row>
    <row r="54" spans="3:6">
      <c r="C54" s="477"/>
      <c r="D54" s="477"/>
      <c r="E54" s="477"/>
      <c r="F54" s="477"/>
    </row>
    <row r="55" spans="3:6">
      <c r="C55" s="477"/>
      <c r="D55" s="477"/>
      <c r="E55" s="477"/>
      <c r="F55" s="477"/>
    </row>
    <row r="56" spans="3:6">
      <c r="C56" s="477"/>
      <c r="D56" s="477"/>
      <c r="E56" s="477"/>
      <c r="F56" s="477"/>
    </row>
    <row r="57" spans="3:6">
      <c r="C57" s="477"/>
      <c r="D57" s="477"/>
      <c r="E57" s="477"/>
      <c r="F57" s="477"/>
    </row>
    <row r="58" spans="3:6">
      <c r="C58" s="477"/>
      <c r="D58" s="477"/>
      <c r="E58" s="477"/>
      <c r="F58" s="477"/>
    </row>
    <row r="59" spans="3:6">
      <c r="C59" s="477"/>
      <c r="D59" s="477"/>
      <c r="E59" s="477"/>
      <c r="F59" s="477"/>
    </row>
    <row r="60" spans="3:6">
      <c r="C60" s="477"/>
      <c r="D60" s="477"/>
      <c r="E60" s="477"/>
      <c r="F60" s="477"/>
    </row>
    <row r="61" spans="3:6">
      <c r="C61" s="477"/>
      <c r="D61" s="477"/>
      <c r="E61" s="477"/>
      <c r="F61" s="477"/>
    </row>
    <row r="62" spans="3:6">
      <c r="C62" s="477"/>
      <c r="D62" s="477"/>
      <c r="E62" s="477"/>
      <c r="F62" s="477"/>
    </row>
    <row r="63" spans="3:6">
      <c r="C63" s="477"/>
      <c r="D63" s="477"/>
      <c r="E63" s="477"/>
      <c r="F63" s="477"/>
    </row>
    <row r="64" spans="3:6">
      <c r="C64" s="477"/>
      <c r="D64" s="477"/>
      <c r="E64" s="477"/>
      <c r="F64" s="477"/>
    </row>
    <row r="65" spans="3:6">
      <c r="C65" s="477"/>
      <c r="D65" s="477"/>
      <c r="E65" s="477"/>
      <c r="F65" s="477"/>
    </row>
    <row r="66" spans="3:6">
      <c r="C66" s="477"/>
      <c r="D66" s="477"/>
      <c r="E66" s="477"/>
      <c r="F66" s="477"/>
    </row>
    <row r="67" spans="3:6">
      <c r="C67" s="477"/>
      <c r="D67" s="477"/>
      <c r="E67" s="477"/>
      <c r="F67" s="477"/>
    </row>
    <row r="68" spans="3:6">
      <c r="C68" s="477"/>
      <c r="D68" s="477"/>
      <c r="E68" s="477"/>
      <c r="F68" s="477"/>
    </row>
    <row r="69" spans="3:6">
      <c r="C69" s="477"/>
      <c r="D69" s="477"/>
      <c r="E69" s="477"/>
      <c r="F69" s="477"/>
    </row>
    <row r="70" spans="3:6">
      <c r="C70" s="477"/>
      <c r="D70" s="477"/>
      <c r="E70" s="477"/>
      <c r="F70" s="477"/>
    </row>
    <row r="71" spans="3:6">
      <c r="C71" s="477"/>
      <c r="D71" s="477"/>
      <c r="E71" s="477"/>
      <c r="F71" s="477"/>
    </row>
    <row r="72" spans="3:6">
      <c r="C72" s="477"/>
      <c r="D72" s="477"/>
      <c r="E72" s="477"/>
      <c r="F72" s="477"/>
    </row>
    <row r="73" spans="3:6">
      <c r="C73" s="477"/>
      <c r="D73" s="477"/>
      <c r="E73" s="477"/>
      <c r="F73" s="477"/>
    </row>
    <row r="74" spans="3:6">
      <c r="C74" s="477"/>
      <c r="D74" s="477"/>
      <c r="E74" s="477"/>
      <c r="F74" s="477"/>
    </row>
    <row r="75" spans="3:6">
      <c r="C75" s="477"/>
      <c r="D75" s="477"/>
      <c r="E75" s="477"/>
      <c r="F75" s="477"/>
    </row>
    <row r="76" spans="3:6">
      <c r="C76" s="477"/>
      <c r="D76" s="477"/>
      <c r="E76" s="477"/>
      <c r="F76" s="477"/>
    </row>
    <row r="77" spans="3:6">
      <c r="C77" s="477"/>
      <c r="D77" s="477"/>
      <c r="E77" s="477"/>
      <c r="F77" s="477"/>
    </row>
    <row r="78" spans="3:6">
      <c r="C78" s="477"/>
      <c r="D78" s="477"/>
      <c r="E78" s="477"/>
      <c r="F78" s="477"/>
    </row>
    <row r="79" spans="3:6">
      <c r="C79" s="477"/>
      <c r="D79" s="477"/>
      <c r="E79" s="477"/>
      <c r="F79" s="477"/>
    </row>
    <row r="80" spans="3:6">
      <c r="C80" s="477"/>
      <c r="D80" s="477"/>
      <c r="E80" s="477"/>
      <c r="F80" s="477"/>
    </row>
    <row r="81" spans="3:6">
      <c r="C81" s="477"/>
      <c r="D81" s="477"/>
      <c r="E81" s="477"/>
      <c r="F81" s="477"/>
    </row>
    <row r="82" spans="3:6">
      <c r="C82" s="477"/>
      <c r="D82" s="477"/>
      <c r="E82" s="477"/>
      <c r="F82" s="477"/>
    </row>
    <row r="83" spans="3:6">
      <c r="C83" s="477"/>
      <c r="D83" s="477"/>
      <c r="E83" s="477"/>
      <c r="F83" s="477"/>
    </row>
    <row r="84" spans="3:6">
      <c r="C84" s="477"/>
      <c r="D84" s="477"/>
      <c r="E84" s="477"/>
      <c r="F84" s="477"/>
    </row>
    <row r="85" spans="3:6">
      <c r="C85" s="477"/>
      <c r="D85" s="477"/>
      <c r="E85" s="477"/>
      <c r="F85" s="477"/>
    </row>
    <row r="86" spans="3:6">
      <c r="C86" s="477"/>
      <c r="D86" s="477"/>
      <c r="E86" s="477"/>
      <c r="F86" s="477"/>
    </row>
    <row r="87" spans="3:6">
      <c r="C87" s="477"/>
      <c r="D87" s="477"/>
      <c r="E87" s="477"/>
      <c r="F87" s="477"/>
    </row>
    <row r="88" spans="3:6">
      <c r="C88" s="477"/>
      <c r="D88" s="477"/>
      <c r="E88" s="477"/>
      <c r="F88" s="477"/>
    </row>
    <row r="89" spans="3:6">
      <c r="C89" s="477"/>
      <c r="D89" s="477"/>
      <c r="E89" s="477"/>
      <c r="F89" s="477"/>
    </row>
  </sheetData>
  <mergeCells count="130">
    <mergeCell ref="A1:H1"/>
    <mergeCell ref="C2:F2"/>
    <mergeCell ref="G2:H2"/>
    <mergeCell ref="C3:F3"/>
    <mergeCell ref="G3:H3"/>
    <mergeCell ref="C4:F4"/>
    <mergeCell ref="G4:H4"/>
    <mergeCell ref="C5:F5"/>
    <mergeCell ref="G5:H5"/>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C14:F14"/>
    <mergeCell ref="G14:H14"/>
    <mergeCell ref="C15:F15"/>
    <mergeCell ref="G15:H15"/>
    <mergeCell ref="C16:F16"/>
    <mergeCell ref="G16:H16"/>
    <mergeCell ref="C17:F17"/>
    <mergeCell ref="G17:H17"/>
    <mergeCell ref="C18:F18"/>
    <mergeCell ref="G18:H18"/>
    <mergeCell ref="C19:F19"/>
    <mergeCell ref="G19:H19"/>
    <mergeCell ref="C20:F20"/>
    <mergeCell ref="G20:H20"/>
    <mergeCell ref="C21:F21"/>
    <mergeCell ref="G21:H21"/>
    <mergeCell ref="C22:F22"/>
    <mergeCell ref="G22:H22"/>
    <mergeCell ref="C23:F23"/>
    <mergeCell ref="G23:H23"/>
    <mergeCell ref="C24:F24"/>
    <mergeCell ref="G24:H24"/>
    <mergeCell ref="C25:F25"/>
    <mergeCell ref="G25:H25"/>
    <mergeCell ref="C26:F26"/>
    <mergeCell ref="G26:H26"/>
    <mergeCell ref="C27:F27"/>
    <mergeCell ref="G27:H27"/>
    <mergeCell ref="C28:F28"/>
    <mergeCell ref="G28:H28"/>
    <mergeCell ref="C29:F29"/>
    <mergeCell ref="G29:H29"/>
    <mergeCell ref="C30:F30"/>
    <mergeCell ref="G30:H30"/>
    <mergeCell ref="C31:F31"/>
    <mergeCell ref="G31:H31"/>
    <mergeCell ref="C32:F32"/>
    <mergeCell ref="G32:H32"/>
    <mergeCell ref="C33:F33"/>
    <mergeCell ref="G33:H33"/>
    <mergeCell ref="C34:F34"/>
    <mergeCell ref="G34:H34"/>
    <mergeCell ref="C35:F35"/>
    <mergeCell ref="G35:H35"/>
    <mergeCell ref="C36:F36"/>
    <mergeCell ref="G36:H36"/>
    <mergeCell ref="C37:F37"/>
    <mergeCell ref="G37:H37"/>
    <mergeCell ref="C38:F38"/>
    <mergeCell ref="G38:H38"/>
    <mergeCell ref="C39:F39"/>
    <mergeCell ref="G39:H39"/>
    <mergeCell ref="C40:F40"/>
    <mergeCell ref="G40:H40"/>
    <mergeCell ref="C41:F41"/>
    <mergeCell ref="G41:H41"/>
    <mergeCell ref="C42:F42"/>
    <mergeCell ref="G42:H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84:F84"/>
    <mergeCell ref="C85:F85"/>
    <mergeCell ref="C86:F86"/>
    <mergeCell ref="C87:F87"/>
    <mergeCell ref="C88:F88"/>
    <mergeCell ref="C89:F89"/>
    <mergeCell ref="C75:F75"/>
    <mergeCell ref="C76:F76"/>
    <mergeCell ref="C77:F77"/>
    <mergeCell ref="C78:F78"/>
    <mergeCell ref="C79:F79"/>
    <mergeCell ref="C80:F80"/>
    <mergeCell ref="C81:F81"/>
    <mergeCell ref="C82:F82"/>
    <mergeCell ref="C83:F83"/>
  </mergeCells>
  <pageMargins left="0.66929133858267698" right="0.59055118110236204" top="0.74803149606299202" bottom="0.74803149606299202" header="0.31496062992126" footer="0.31496062992126"/>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1CCF-17FA-4DAD-A387-59139868B5D6}">
  <dimension ref="A1"/>
  <sheetViews>
    <sheetView view="pageLayout" zoomScale="60" zoomScaleNormal="100" zoomScalePageLayoutView="60" workbookViewId="0">
      <selection sqref="A1:XFD3500"/>
    </sheetView>
  </sheetViews>
  <sheetFormatPr defaultColWidth="9" defaultRowHeight="15"/>
  <cols>
    <col min="1" max="16384" width="9" style="217"/>
  </cols>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52"/>
  <sheetViews>
    <sheetView topLeftCell="A13" workbookViewId="0">
      <selection activeCell="F18" sqref="F18"/>
    </sheetView>
  </sheetViews>
  <sheetFormatPr defaultColWidth="9.140625" defaultRowHeight="15"/>
  <cols>
    <col min="1" max="1" width="15.140625" customWidth="1"/>
    <col min="7" max="7" width="13.42578125" customWidth="1"/>
    <col min="14" max="14" width="12.140625" customWidth="1"/>
  </cols>
  <sheetData>
    <row r="1" spans="1:7">
      <c r="A1" s="1" t="s">
        <v>95</v>
      </c>
    </row>
    <row r="2" spans="1:7">
      <c r="A2" s="2" t="s">
        <v>96</v>
      </c>
      <c r="B2" s="3">
        <v>360</v>
      </c>
      <c r="C2" s="4">
        <f>B2-(B2*0.25)</f>
        <v>270</v>
      </c>
    </row>
    <row r="3" spans="1:7">
      <c r="A3" s="2" t="s">
        <v>97</v>
      </c>
      <c r="B3" s="3">
        <v>1250</v>
      </c>
      <c r="C3" s="4">
        <f t="shared" ref="C3:C68" si="0">B3-(B3*0.25)</f>
        <v>937.5</v>
      </c>
      <c r="F3" s="5"/>
      <c r="G3" s="6" t="s">
        <v>65</v>
      </c>
    </row>
    <row r="4" spans="1:7">
      <c r="A4" s="2" t="s">
        <v>98</v>
      </c>
      <c r="B4" s="3">
        <v>493</v>
      </c>
      <c r="C4" s="4">
        <f t="shared" si="0"/>
        <v>369.75</v>
      </c>
      <c r="F4" s="7"/>
      <c r="G4" s="6" t="s">
        <v>64</v>
      </c>
    </row>
    <row r="5" spans="1:7">
      <c r="A5" s="2" t="s">
        <v>99</v>
      </c>
      <c r="B5" s="3">
        <v>750</v>
      </c>
      <c r="C5" s="4">
        <f t="shared" si="0"/>
        <v>562.5</v>
      </c>
      <c r="F5" s="8"/>
      <c r="G5" s="6" t="s">
        <v>63</v>
      </c>
    </row>
    <row r="6" spans="1:7">
      <c r="A6" s="2" t="s">
        <v>100</v>
      </c>
      <c r="B6" s="3">
        <v>1900</v>
      </c>
      <c r="C6" s="4">
        <f t="shared" si="0"/>
        <v>1425</v>
      </c>
      <c r="F6" s="9"/>
      <c r="G6" s="6" t="s">
        <v>101</v>
      </c>
    </row>
    <row r="7" spans="1:7">
      <c r="A7" s="2" t="s">
        <v>102</v>
      </c>
      <c r="B7" s="3">
        <v>880</v>
      </c>
      <c r="C7" s="4">
        <f t="shared" si="0"/>
        <v>660</v>
      </c>
      <c r="F7" s="10"/>
      <c r="G7" s="6" t="s">
        <v>103</v>
      </c>
    </row>
    <row r="8" spans="1:7">
      <c r="A8" s="2" t="s">
        <v>104</v>
      </c>
      <c r="B8" s="3">
        <v>650</v>
      </c>
      <c r="C8" s="4">
        <f t="shared" si="0"/>
        <v>487.5</v>
      </c>
      <c r="F8" s="11"/>
      <c r="G8" s="6" t="s">
        <v>105</v>
      </c>
    </row>
    <row r="9" spans="1:7">
      <c r="A9" s="2" t="s">
        <v>106</v>
      </c>
      <c r="B9" s="3">
        <v>750</v>
      </c>
      <c r="C9" s="4">
        <f t="shared" si="0"/>
        <v>562.5</v>
      </c>
      <c r="F9" s="12"/>
      <c r="G9" s="6" t="s">
        <v>107</v>
      </c>
    </row>
    <row r="10" spans="1:7">
      <c r="A10" s="2" t="s">
        <v>108</v>
      </c>
      <c r="B10" s="3">
        <v>420</v>
      </c>
      <c r="C10" s="4">
        <f t="shared" si="0"/>
        <v>315</v>
      </c>
    </row>
    <row r="11" spans="1:7">
      <c r="A11" s="2" t="s">
        <v>109</v>
      </c>
      <c r="B11" s="3">
        <v>515</v>
      </c>
      <c r="C11" s="4">
        <f t="shared" si="0"/>
        <v>386.25</v>
      </c>
    </row>
    <row r="12" spans="1:7">
      <c r="A12" s="2" t="s">
        <v>110</v>
      </c>
      <c r="B12" s="3">
        <v>1200</v>
      </c>
      <c r="C12" s="4">
        <f t="shared" si="0"/>
        <v>900</v>
      </c>
    </row>
    <row r="13" spans="1:7">
      <c r="A13" s="2" t="s">
        <v>111</v>
      </c>
      <c r="B13" s="3">
        <v>428</v>
      </c>
      <c r="C13" s="4">
        <f t="shared" si="0"/>
        <v>321</v>
      </c>
    </row>
    <row r="14" spans="1:7">
      <c r="A14" s="2" t="s">
        <v>112</v>
      </c>
      <c r="B14" s="3">
        <v>650</v>
      </c>
      <c r="C14" s="4">
        <f t="shared" si="0"/>
        <v>487.5</v>
      </c>
    </row>
    <row r="15" spans="1:7">
      <c r="A15" s="2" t="s">
        <v>113</v>
      </c>
      <c r="B15" s="3">
        <v>680</v>
      </c>
      <c r="C15" s="4">
        <f t="shared" si="0"/>
        <v>510</v>
      </c>
    </row>
    <row r="16" spans="1:7">
      <c r="A16" s="2" t="s">
        <v>114</v>
      </c>
      <c r="B16" s="3">
        <v>700</v>
      </c>
      <c r="C16" s="4">
        <f t="shared" si="0"/>
        <v>525</v>
      </c>
    </row>
    <row r="17" spans="1:6">
      <c r="A17" s="2" t="s">
        <v>115</v>
      </c>
      <c r="B17" s="3">
        <v>320</v>
      </c>
      <c r="C17" s="4">
        <f t="shared" si="0"/>
        <v>240</v>
      </c>
    </row>
    <row r="18" spans="1:6">
      <c r="A18" s="2" t="s">
        <v>116</v>
      </c>
      <c r="B18" s="3">
        <v>950</v>
      </c>
      <c r="C18" s="4">
        <f t="shared" si="0"/>
        <v>712.5</v>
      </c>
      <c r="F18" t="s">
        <v>117</v>
      </c>
    </row>
    <row r="19" spans="1:6">
      <c r="A19" s="2" t="s">
        <v>118</v>
      </c>
      <c r="B19" s="3">
        <v>750</v>
      </c>
      <c r="C19" s="4">
        <f t="shared" si="0"/>
        <v>562.5</v>
      </c>
    </row>
    <row r="20" spans="1:6">
      <c r="A20" s="2" t="s">
        <v>119</v>
      </c>
      <c r="B20" s="3">
        <v>500</v>
      </c>
      <c r="C20" s="4">
        <f t="shared" si="0"/>
        <v>375</v>
      </c>
    </row>
    <row r="21" spans="1:6">
      <c r="A21" s="2" t="s">
        <v>120</v>
      </c>
      <c r="B21" s="3">
        <v>1028</v>
      </c>
      <c r="C21" s="4">
        <f t="shared" si="0"/>
        <v>771</v>
      </c>
    </row>
    <row r="22" spans="1:6">
      <c r="A22" s="2" t="s">
        <v>121</v>
      </c>
      <c r="B22" s="3">
        <v>590</v>
      </c>
      <c r="C22" s="4">
        <f t="shared" si="0"/>
        <v>442.5</v>
      </c>
    </row>
    <row r="23" spans="1:6">
      <c r="A23" s="2" t="s">
        <v>122</v>
      </c>
      <c r="B23" s="3">
        <v>1100</v>
      </c>
      <c r="C23" s="4">
        <f t="shared" si="0"/>
        <v>825</v>
      </c>
    </row>
    <row r="24" spans="1:6">
      <c r="A24" s="2" t="s">
        <v>123</v>
      </c>
      <c r="B24" s="3">
        <v>730</v>
      </c>
      <c r="C24" s="4">
        <f t="shared" si="0"/>
        <v>547.5</v>
      </c>
    </row>
    <row r="25" spans="1:6">
      <c r="A25" s="2" t="s">
        <v>124</v>
      </c>
      <c r="B25" s="3">
        <v>365</v>
      </c>
      <c r="C25" s="4">
        <f t="shared" si="0"/>
        <v>273.75</v>
      </c>
    </row>
    <row r="26" spans="1:6">
      <c r="A26" s="2" t="s">
        <v>125</v>
      </c>
      <c r="B26" s="3">
        <v>775</v>
      </c>
      <c r="C26" s="4">
        <f t="shared" si="0"/>
        <v>581.25</v>
      </c>
    </row>
    <row r="27" spans="1:6">
      <c r="A27" s="2" t="s">
        <v>126</v>
      </c>
      <c r="B27" s="3">
        <v>750</v>
      </c>
      <c r="C27" s="4">
        <f t="shared" si="0"/>
        <v>562.5</v>
      </c>
    </row>
    <row r="28" spans="1:6">
      <c r="A28" s="2" t="s">
        <v>127</v>
      </c>
      <c r="B28" s="3">
        <v>690</v>
      </c>
      <c r="C28" s="4">
        <f t="shared" si="0"/>
        <v>517.5</v>
      </c>
    </row>
    <row r="29" spans="1:6">
      <c r="A29" s="2" t="s">
        <v>128</v>
      </c>
      <c r="B29" s="3">
        <v>472</v>
      </c>
      <c r="C29" s="4">
        <f t="shared" si="0"/>
        <v>354</v>
      </c>
    </row>
    <row r="30" spans="1:6">
      <c r="A30" s="2" t="s">
        <v>129</v>
      </c>
      <c r="B30" s="3">
        <v>550</v>
      </c>
      <c r="C30" s="4">
        <f t="shared" si="0"/>
        <v>412.5</v>
      </c>
    </row>
    <row r="31" spans="1:6">
      <c r="A31" s="2" t="s">
        <v>130</v>
      </c>
      <c r="B31" s="3">
        <v>830</v>
      </c>
      <c r="C31" s="4">
        <f t="shared" si="0"/>
        <v>622.5</v>
      </c>
    </row>
    <row r="32" spans="1:6">
      <c r="A32" s="2" t="s">
        <v>131</v>
      </c>
      <c r="B32" s="3">
        <v>1900</v>
      </c>
      <c r="C32" s="4">
        <f t="shared" si="0"/>
        <v>1425</v>
      </c>
    </row>
    <row r="33" spans="1:3">
      <c r="A33" s="2" t="s">
        <v>132</v>
      </c>
      <c r="B33" s="3">
        <v>710</v>
      </c>
      <c r="C33" s="4">
        <f t="shared" si="0"/>
        <v>532.5</v>
      </c>
    </row>
    <row r="34" spans="1:3">
      <c r="A34" s="2" t="s">
        <v>133</v>
      </c>
      <c r="B34" s="3">
        <v>750</v>
      </c>
      <c r="C34" s="4">
        <f t="shared" si="0"/>
        <v>562.5</v>
      </c>
    </row>
    <row r="35" spans="1:3">
      <c r="A35" s="2" t="s">
        <v>134</v>
      </c>
      <c r="B35" s="3">
        <v>650</v>
      </c>
      <c r="C35" s="4">
        <f t="shared" si="0"/>
        <v>487.5</v>
      </c>
    </row>
    <row r="36" spans="1:3">
      <c r="A36" s="2" t="s">
        <v>135</v>
      </c>
      <c r="B36" s="3">
        <v>550</v>
      </c>
      <c r="C36" s="4">
        <f t="shared" si="0"/>
        <v>412.5</v>
      </c>
    </row>
    <row r="37" spans="1:3">
      <c r="A37" s="2" t="s">
        <v>136</v>
      </c>
      <c r="B37" s="3">
        <v>550</v>
      </c>
      <c r="C37" s="4">
        <f t="shared" si="0"/>
        <v>412.5</v>
      </c>
    </row>
    <row r="38" spans="1:3">
      <c r="A38" s="2" t="s">
        <v>137</v>
      </c>
      <c r="B38" s="3">
        <v>880</v>
      </c>
      <c r="C38" s="4">
        <f t="shared" si="0"/>
        <v>660</v>
      </c>
    </row>
    <row r="39" spans="1:3">
      <c r="A39" s="2" t="s">
        <v>138</v>
      </c>
      <c r="B39" s="3">
        <v>930</v>
      </c>
      <c r="C39" s="4">
        <f t="shared" si="0"/>
        <v>697.5</v>
      </c>
    </row>
    <row r="40" spans="1:3">
      <c r="A40" s="2" t="s">
        <v>139</v>
      </c>
      <c r="B40" s="3">
        <v>780</v>
      </c>
      <c r="C40" s="4">
        <f t="shared" si="0"/>
        <v>585</v>
      </c>
    </row>
    <row r="41" spans="1:3">
      <c r="A41" s="2" t="s">
        <v>140</v>
      </c>
      <c r="B41" s="3">
        <v>750</v>
      </c>
      <c r="C41" s="4">
        <f t="shared" si="0"/>
        <v>562.5</v>
      </c>
    </row>
    <row r="42" spans="1:3">
      <c r="A42" s="2" t="s">
        <v>141</v>
      </c>
      <c r="B42" s="3">
        <v>814</v>
      </c>
      <c r="C42" s="4">
        <f t="shared" si="0"/>
        <v>610.5</v>
      </c>
    </row>
    <row r="43" spans="1:3">
      <c r="A43" s="2" t="s">
        <v>142</v>
      </c>
      <c r="B43" s="3">
        <v>600</v>
      </c>
      <c r="C43" s="4">
        <f t="shared" si="0"/>
        <v>450</v>
      </c>
    </row>
    <row r="44" spans="1:3">
      <c r="A44" s="2" t="s">
        <v>143</v>
      </c>
      <c r="B44" s="3">
        <v>1028</v>
      </c>
      <c r="C44" s="4">
        <f t="shared" si="0"/>
        <v>771</v>
      </c>
    </row>
    <row r="45" spans="1:3">
      <c r="A45" s="2" t="s">
        <v>144</v>
      </c>
      <c r="B45" s="3">
        <v>550</v>
      </c>
      <c r="C45" s="4">
        <f t="shared" si="0"/>
        <v>412.5</v>
      </c>
    </row>
    <row r="46" spans="1:3">
      <c r="A46" s="2" t="s">
        <v>145</v>
      </c>
      <c r="B46" s="3">
        <v>710</v>
      </c>
      <c r="C46" s="4">
        <f t="shared" si="0"/>
        <v>532.5</v>
      </c>
    </row>
    <row r="47" spans="1:3">
      <c r="A47" s="2" t="s">
        <v>146</v>
      </c>
      <c r="B47" s="3">
        <v>500</v>
      </c>
      <c r="C47" s="4">
        <f t="shared" si="0"/>
        <v>375</v>
      </c>
    </row>
    <row r="48" spans="1:3">
      <c r="A48" s="2" t="s">
        <v>147</v>
      </c>
      <c r="B48" s="3">
        <v>858</v>
      </c>
      <c r="C48" s="4">
        <f t="shared" si="0"/>
        <v>643.5</v>
      </c>
    </row>
    <row r="49" spans="1:3">
      <c r="A49" s="2" t="s">
        <v>148</v>
      </c>
      <c r="B49" s="3">
        <v>340</v>
      </c>
      <c r="C49" s="4">
        <f t="shared" si="0"/>
        <v>255</v>
      </c>
    </row>
    <row r="50" spans="1:3">
      <c r="A50" s="2" t="s">
        <v>149</v>
      </c>
      <c r="B50" s="3">
        <v>471</v>
      </c>
      <c r="C50" s="4">
        <f t="shared" si="0"/>
        <v>353.25</v>
      </c>
    </row>
    <row r="51" spans="1:3">
      <c r="A51" s="2" t="s">
        <v>150</v>
      </c>
      <c r="B51" s="3">
        <v>514</v>
      </c>
      <c r="C51" s="4">
        <f t="shared" si="0"/>
        <v>385.5</v>
      </c>
    </row>
    <row r="52" spans="1:3">
      <c r="A52" s="2" t="s">
        <v>151</v>
      </c>
      <c r="B52" s="3">
        <v>390</v>
      </c>
      <c r="C52" s="4">
        <f t="shared" si="0"/>
        <v>292.5</v>
      </c>
    </row>
    <row r="53" spans="1:3">
      <c r="A53" s="2" t="s">
        <v>152</v>
      </c>
      <c r="B53" s="3">
        <v>580</v>
      </c>
      <c r="C53" s="4">
        <f t="shared" si="0"/>
        <v>435</v>
      </c>
    </row>
    <row r="54" spans="1:3">
      <c r="A54" s="13" t="s">
        <v>153</v>
      </c>
      <c r="B54" s="3">
        <v>750</v>
      </c>
      <c r="C54" s="4">
        <f t="shared" si="0"/>
        <v>562.5</v>
      </c>
    </row>
    <row r="55" spans="1:3">
      <c r="A55" s="13" t="s">
        <v>154</v>
      </c>
      <c r="B55" s="3">
        <v>815</v>
      </c>
      <c r="C55" s="4">
        <f t="shared" si="0"/>
        <v>611.25</v>
      </c>
    </row>
    <row r="56" spans="1:3">
      <c r="A56" s="14"/>
      <c r="B56" s="3"/>
      <c r="C56" s="4"/>
    </row>
    <row r="57" spans="1:3">
      <c r="A57" s="15" t="s">
        <v>155</v>
      </c>
      <c r="B57" s="3"/>
      <c r="C57" s="4"/>
    </row>
    <row r="58" spans="1:3">
      <c r="A58" s="16" t="s">
        <v>156</v>
      </c>
      <c r="B58" s="3">
        <v>665</v>
      </c>
      <c r="C58" s="4">
        <f t="shared" si="0"/>
        <v>498.75</v>
      </c>
    </row>
    <row r="59" spans="1:3">
      <c r="A59" s="16" t="s">
        <v>157</v>
      </c>
      <c r="B59" s="3">
        <v>815</v>
      </c>
      <c r="C59" s="4">
        <f t="shared" si="0"/>
        <v>611.25</v>
      </c>
    </row>
    <row r="60" spans="1:3">
      <c r="A60" s="16" t="s">
        <v>158</v>
      </c>
      <c r="B60" s="3">
        <v>600</v>
      </c>
      <c r="C60" s="4">
        <f t="shared" si="0"/>
        <v>450</v>
      </c>
    </row>
    <row r="61" spans="1:3">
      <c r="A61" s="16" t="s">
        <v>159</v>
      </c>
      <c r="B61" s="3">
        <v>600</v>
      </c>
      <c r="C61" s="4">
        <f t="shared" si="0"/>
        <v>450</v>
      </c>
    </row>
    <row r="62" spans="1:3">
      <c r="A62" s="16" t="s">
        <v>160</v>
      </c>
      <c r="B62" s="3">
        <v>600</v>
      </c>
      <c r="C62" s="4">
        <f t="shared" si="0"/>
        <v>450</v>
      </c>
    </row>
    <row r="63" spans="1:3">
      <c r="A63" s="16" t="s">
        <v>161</v>
      </c>
      <c r="B63" s="3">
        <v>750</v>
      </c>
      <c r="C63" s="4">
        <f t="shared" si="0"/>
        <v>562.5</v>
      </c>
    </row>
    <row r="64" spans="1:3">
      <c r="A64" s="16" t="s">
        <v>162</v>
      </c>
      <c r="B64" s="3">
        <v>815</v>
      </c>
      <c r="C64" s="4">
        <f t="shared" si="0"/>
        <v>611.25</v>
      </c>
    </row>
    <row r="65" spans="1:3">
      <c r="A65" s="16" t="s">
        <v>163</v>
      </c>
      <c r="B65" s="3">
        <v>560</v>
      </c>
      <c r="C65" s="4">
        <f t="shared" si="0"/>
        <v>420</v>
      </c>
    </row>
    <row r="66" spans="1:3">
      <c r="A66" s="16" t="s">
        <v>164</v>
      </c>
      <c r="B66" s="3">
        <v>850</v>
      </c>
      <c r="C66" s="4">
        <f t="shared" si="0"/>
        <v>637.5</v>
      </c>
    </row>
    <row r="67" spans="1:3">
      <c r="A67" s="16" t="s">
        <v>165</v>
      </c>
      <c r="B67" s="3">
        <v>1050</v>
      </c>
      <c r="C67" s="4">
        <f t="shared" si="0"/>
        <v>787.5</v>
      </c>
    </row>
    <row r="68" spans="1:3">
      <c r="A68" s="16" t="s">
        <v>166</v>
      </c>
      <c r="B68" s="3">
        <v>815</v>
      </c>
      <c r="C68" s="4">
        <f t="shared" si="0"/>
        <v>611.25</v>
      </c>
    </row>
    <row r="69" spans="1:3">
      <c r="A69" s="16" t="s">
        <v>167</v>
      </c>
      <c r="B69" s="3">
        <v>1075</v>
      </c>
      <c r="C69" s="4">
        <f t="shared" ref="C69:C144" si="1">B69-(B69*0.25)</f>
        <v>806.25</v>
      </c>
    </row>
    <row r="70" spans="1:3">
      <c r="A70" s="16" t="s">
        <v>168</v>
      </c>
      <c r="B70" s="3">
        <v>495</v>
      </c>
      <c r="C70" s="4">
        <f t="shared" si="1"/>
        <v>371.25</v>
      </c>
    </row>
    <row r="71" spans="1:3">
      <c r="A71" s="16" t="s">
        <v>169</v>
      </c>
      <c r="B71" s="3">
        <v>920</v>
      </c>
      <c r="C71" s="4">
        <f t="shared" si="1"/>
        <v>690</v>
      </c>
    </row>
    <row r="72" spans="1:3">
      <c r="A72" s="16" t="s">
        <v>170</v>
      </c>
      <c r="B72" s="3">
        <v>750</v>
      </c>
      <c r="C72" s="4">
        <f t="shared" si="1"/>
        <v>562.5</v>
      </c>
    </row>
    <row r="73" spans="1:3">
      <c r="A73" s="16" t="s">
        <v>171</v>
      </c>
      <c r="B73" s="3">
        <v>530</v>
      </c>
      <c r="C73" s="4">
        <f t="shared" si="1"/>
        <v>397.5</v>
      </c>
    </row>
    <row r="74" spans="1:3">
      <c r="A74" s="16" t="s">
        <v>172</v>
      </c>
      <c r="B74" s="3">
        <v>900</v>
      </c>
      <c r="C74" s="4">
        <f t="shared" si="1"/>
        <v>675</v>
      </c>
    </row>
    <row r="75" spans="1:3">
      <c r="A75" s="16" t="s">
        <v>173</v>
      </c>
      <c r="B75" s="3">
        <v>900</v>
      </c>
      <c r="C75" s="4">
        <f t="shared" si="1"/>
        <v>675</v>
      </c>
    </row>
    <row r="76" spans="1:3">
      <c r="A76" s="16" t="s">
        <v>174</v>
      </c>
      <c r="B76" s="3">
        <v>735</v>
      </c>
      <c r="C76" s="4">
        <f t="shared" si="1"/>
        <v>551.25</v>
      </c>
    </row>
    <row r="77" spans="1:3">
      <c r="A77" s="16" t="s">
        <v>175</v>
      </c>
      <c r="B77" s="3">
        <v>920</v>
      </c>
      <c r="C77" s="4">
        <f t="shared" si="1"/>
        <v>690</v>
      </c>
    </row>
    <row r="78" spans="1:3">
      <c r="A78" s="16" t="s">
        <v>176</v>
      </c>
      <c r="B78" s="3">
        <v>700</v>
      </c>
      <c r="C78" s="4">
        <f t="shared" si="1"/>
        <v>525</v>
      </c>
    </row>
    <row r="79" spans="1:3">
      <c r="A79" s="16" t="s">
        <v>177</v>
      </c>
      <c r="B79" s="3">
        <v>850</v>
      </c>
      <c r="C79" s="4">
        <f t="shared" si="1"/>
        <v>637.5</v>
      </c>
    </row>
    <row r="80" spans="1:3">
      <c r="A80" s="16" t="s">
        <v>178</v>
      </c>
      <c r="B80" s="3">
        <v>850</v>
      </c>
      <c r="C80" s="4">
        <f t="shared" si="1"/>
        <v>637.5</v>
      </c>
    </row>
    <row r="81" spans="1:3">
      <c r="A81" s="16" t="s">
        <v>179</v>
      </c>
      <c r="B81" s="3">
        <v>1300</v>
      </c>
      <c r="C81" s="4">
        <f t="shared" si="1"/>
        <v>975</v>
      </c>
    </row>
    <row r="82" spans="1:3">
      <c r="A82" s="16" t="s">
        <v>180</v>
      </c>
      <c r="B82" s="3">
        <v>660</v>
      </c>
      <c r="C82" s="4">
        <f t="shared" si="1"/>
        <v>495</v>
      </c>
    </row>
    <row r="83" spans="1:3">
      <c r="A83" s="16" t="s">
        <v>181</v>
      </c>
      <c r="B83" s="3">
        <v>970</v>
      </c>
      <c r="C83" s="4">
        <f t="shared" si="1"/>
        <v>727.5</v>
      </c>
    </row>
    <row r="84" spans="1:3">
      <c r="A84" s="16" t="s">
        <v>182</v>
      </c>
      <c r="B84" s="3">
        <v>900</v>
      </c>
      <c r="C84" s="4">
        <f t="shared" si="1"/>
        <v>675</v>
      </c>
    </row>
    <row r="85" spans="1:3">
      <c r="A85" s="16" t="s">
        <v>183</v>
      </c>
      <c r="B85" s="3">
        <v>650</v>
      </c>
      <c r="C85" s="4">
        <f t="shared" si="1"/>
        <v>487.5</v>
      </c>
    </row>
    <row r="86" spans="1:3">
      <c r="A86" s="16" t="s">
        <v>184</v>
      </c>
      <c r="B86" s="3">
        <v>578.79</v>
      </c>
      <c r="C86" s="4">
        <f t="shared" si="1"/>
        <v>434.09249999999997</v>
      </c>
    </row>
    <row r="87" spans="1:3">
      <c r="A87" s="16" t="s">
        <v>185</v>
      </c>
      <c r="B87" s="3">
        <v>815</v>
      </c>
      <c r="C87" s="4">
        <f t="shared" si="1"/>
        <v>611.25</v>
      </c>
    </row>
    <row r="88" spans="1:3">
      <c r="A88" s="16" t="s">
        <v>186</v>
      </c>
      <c r="B88" s="3">
        <v>1350</v>
      </c>
      <c r="C88" s="4">
        <f t="shared" si="1"/>
        <v>1012.5</v>
      </c>
    </row>
    <row r="89" spans="1:3">
      <c r="A89" s="16" t="s">
        <v>187</v>
      </c>
      <c r="B89" s="3">
        <v>2150</v>
      </c>
      <c r="C89" s="4">
        <f t="shared" si="1"/>
        <v>1612.5</v>
      </c>
    </row>
    <row r="90" spans="1:3">
      <c r="A90" s="16" t="s">
        <v>188</v>
      </c>
      <c r="B90" s="3">
        <v>600</v>
      </c>
      <c r="C90" s="4">
        <f t="shared" si="1"/>
        <v>450</v>
      </c>
    </row>
    <row r="91" spans="1:3">
      <c r="A91" s="16" t="s">
        <v>189</v>
      </c>
      <c r="B91" s="3">
        <v>600</v>
      </c>
      <c r="C91" s="4">
        <f t="shared" si="1"/>
        <v>450</v>
      </c>
    </row>
    <row r="92" spans="1:3">
      <c r="A92" s="16" t="s">
        <v>190</v>
      </c>
      <c r="B92" s="3">
        <v>900</v>
      </c>
      <c r="C92" s="4">
        <f t="shared" si="1"/>
        <v>675</v>
      </c>
    </row>
    <row r="93" spans="1:3">
      <c r="A93" s="16" t="s">
        <v>191</v>
      </c>
      <c r="B93" s="3">
        <v>660</v>
      </c>
      <c r="C93" s="4">
        <f t="shared" si="1"/>
        <v>495</v>
      </c>
    </row>
    <row r="94" spans="1:3">
      <c r="A94" s="16" t="s">
        <v>192</v>
      </c>
      <c r="B94" s="3">
        <v>900</v>
      </c>
      <c r="C94" s="4">
        <f t="shared" si="1"/>
        <v>675</v>
      </c>
    </row>
    <row r="95" spans="1:3">
      <c r="A95" s="16"/>
      <c r="B95" s="3"/>
      <c r="C95" s="4"/>
    </row>
    <row r="96" spans="1:3">
      <c r="A96" s="15" t="s">
        <v>193</v>
      </c>
      <c r="B96" s="3"/>
      <c r="C96" s="4"/>
    </row>
    <row r="97" spans="1:3">
      <c r="A97" s="17" t="s">
        <v>194</v>
      </c>
      <c r="B97" s="3">
        <v>205</v>
      </c>
      <c r="C97" s="4">
        <f t="shared" si="1"/>
        <v>153.75</v>
      </c>
    </row>
    <row r="98" spans="1:3">
      <c r="A98" s="17" t="s">
        <v>195</v>
      </c>
      <c r="B98" s="3">
        <v>215</v>
      </c>
      <c r="C98" s="4">
        <f t="shared" si="1"/>
        <v>161.25</v>
      </c>
    </row>
    <row r="99" spans="1:3">
      <c r="A99" s="17" t="s">
        <v>196</v>
      </c>
      <c r="B99" s="3">
        <v>260</v>
      </c>
      <c r="C99" s="4">
        <f t="shared" si="1"/>
        <v>195</v>
      </c>
    </row>
    <row r="100" spans="1:3">
      <c r="A100" s="17" t="s">
        <v>197</v>
      </c>
      <c r="B100" s="3">
        <v>375</v>
      </c>
      <c r="C100" s="4">
        <f t="shared" si="1"/>
        <v>281.25</v>
      </c>
    </row>
    <row r="101" spans="1:3">
      <c r="A101" s="17" t="s">
        <v>198</v>
      </c>
      <c r="B101" s="3">
        <v>610.95000000000005</v>
      </c>
      <c r="C101" s="4">
        <f t="shared" si="1"/>
        <v>458.21250000000003</v>
      </c>
    </row>
    <row r="102" spans="1:3">
      <c r="A102" s="17" t="s">
        <v>199</v>
      </c>
      <c r="B102" s="3">
        <v>375.14</v>
      </c>
      <c r="C102" s="4">
        <f t="shared" si="1"/>
        <v>281.35500000000002</v>
      </c>
    </row>
    <row r="103" spans="1:3">
      <c r="A103" s="17" t="s">
        <v>200</v>
      </c>
      <c r="B103" s="3">
        <v>205</v>
      </c>
      <c r="C103" s="4">
        <f t="shared" si="1"/>
        <v>153.75</v>
      </c>
    </row>
    <row r="104" spans="1:3">
      <c r="A104" s="17" t="s">
        <v>201</v>
      </c>
      <c r="B104" s="3">
        <v>205</v>
      </c>
      <c r="C104" s="4">
        <f t="shared" si="1"/>
        <v>153.75</v>
      </c>
    </row>
    <row r="105" spans="1:3">
      <c r="A105" s="17" t="s">
        <v>202</v>
      </c>
      <c r="B105" s="3">
        <v>420</v>
      </c>
      <c r="C105" s="4">
        <f t="shared" si="1"/>
        <v>315</v>
      </c>
    </row>
    <row r="106" spans="1:3">
      <c r="A106" s="17" t="s">
        <v>203</v>
      </c>
      <c r="B106" s="3">
        <v>670</v>
      </c>
      <c r="C106" s="4">
        <f t="shared" si="1"/>
        <v>502.5</v>
      </c>
    </row>
    <row r="107" spans="1:3">
      <c r="A107" s="17" t="s">
        <v>204</v>
      </c>
      <c r="B107" s="3">
        <v>210</v>
      </c>
      <c r="C107" s="4">
        <f t="shared" si="1"/>
        <v>157.5</v>
      </c>
    </row>
    <row r="108" spans="1:3">
      <c r="A108" s="17" t="s">
        <v>205</v>
      </c>
      <c r="B108" s="3">
        <v>250</v>
      </c>
      <c r="C108" s="4">
        <f t="shared" si="1"/>
        <v>187.5</v>
      </c>
    </row>
    <row r="109" spans="1:3">
      <c r="A109" s="17" t="s">
        <v>206</v>
      </c>
      <c r="B109" s="3">
        <v>250</v>
      </c>
      <c r="C109" s="4">
        <f t="shared" si="1"/>
        <v>187.5</v>
      </c>
    </row>
    <row r="110" spans="1:3">
      <c r="A110" s="17" t="s">
        <v>207</v>
      </c>
      <c r="B110" s="3">
        <v>270</v>
      </c>
      <c r="C110" s="4">
        <f t="shared" si="1"/>
        <v>202.5</v>
      </c>
    </row>
    <row r="111" spans="1:3">
      <c r="A111" s="17" t="s">
        <v>208</v>
      </c>
      <c r="B111" s="3">
        <v>350</v>
      </c>
      <c r="C111" s="4">
        <f t="shared" si="1"/>
        <v>262.5</v>
      </c>
    </row>
    <row r="112" spans="1:3">
      <c r="A112" s="17" t="s">
        <v>209</v>
      </c>
      <c r="B112" s="3">
        <v>385.86</v>
      </c>
      <c r="C112" s="4">
        <f t="shared" si="1"/>
        <v>289.39499999999998</v>
      </c>
    </row>
    <row r="113" spans="1:4">
      <c r="A113" s="17" t="s">
        <v>210</v>
      </c>
      <c r="B113" s="3">
        <v>430</v>
      </c>
      <c r="C113" s="4">
        <f t="shared" si="1"/>
        <v>322.5</v>
      </c>
    </row>
    <row r="114" spans="1:4">
      <c r="A114" s="17" t="s">
        <v>211</v>
      </c>
      <c r="B114" s="3">
        <v>550</v>
      </c>
      <c r="C114" s="4">
        <f t="shared" si="1"/>
        <v>412.5</v>
      </c>
    </row>
    <row r="115" spans="1:4">
      <c r="A115" s="17" t="s">
        <v>212</v>
      </c>
      <c r="B115" s="3">
        <v>321.55</v>
      </c>
      <c r="C115" s="4">
        <f t="shared" si="1"/>
        <v>241.16250000000002</v>
      </c>
    </row>
    <row r="116" spans="1:4">
      <c r="A116" s="17" t="s">
        <v>213</v>
      </c>
      <c r="B116" s="3">
        <v>332.27</v>
      </c>
      <c r="C116" s="4">
        <f t="shared" si="1"/>
        <v>249.20249999999999</v>
      </c>
    </row>
    <row r="117" spans="1:4">
      <c r="A117" s="18" t="s">
        <v>214</v>
      </c>
      <c r="B117" s="19">
        <v>535.91999999999996</v>
      </c>
      <c r="C117" s="20">
        <f t="shared" si="1"/>
        <v>401.93999999999994</v>
      </c>
    </row>
    <row r="118" spans="1:4">
      <c r="A118" s="18" t="s">
        <v>215</v>
      </c>
      <c r="B118" s="19">
        <v>300</v>
      </c>
      <c r="C118" s="20">
        <f t="shared" si="1"/>
        <v>225</v>
      </c>
      <c r="D118" s="21" t="s">
        <v>216</v>
      </c>
    </row>
    <row r="119" spans="1:4">
      <c r="A119" s="18" t="s">
        <v>217</v>
      </c>
      <c r="B119" s="19">
        <v>320</v>
      </c>
      <c r="C119" s="20">
        <f t="shared" si="1"/>
        <v>240</v>
      </c>
      <c r="D119" s="21" t="s">
        <v>218</v>
      </c>
    </row>
    <row r="120" spans="1:4">
      <c r="A120" s="18" t="s">
        <v>219</v>
      </c>
      <c r="B120" s="19">
        <v>450</v>
      </c>
      <c r="C120" s="20">
        <f t="shared" si="1"/>
        <v>337.5</v>
      </c>
      <c r="D120" s="21" t="s">
        <v>220</v>
      </c>
    </row>
    <row r="121" spans="1:4">
      <c r="A121" s="18" t="s">
        <v>221</v>
      </c>
      <c r="B121" s="19">
        <v>880</v>
      </c>
      <c r="C121" s="20">
        <f t="shared" si="1"/>
        <v>660</v>
      </c>
      <c r="D121" s="21" t="s">
        <v>222</v>
      </c>
    </row>
    <row r="122" spans="1:4">
      <c r="A122" s="18" t="s">
        <v>223</v>
      </c>
      <c r="B122" s="19">
        <v>550</v>
      </c>
      <c r="C122" s="20">
        <f t="shared" si="1"/>
        <v>412.5</v>
      </c>
      <c r="D122" s="21" t="s">
        <v>224</v>
      </c>
    </row>
    <row r="123" spans="1:4">
      <c r="A123" s="18" t="s">
        <v>225</v>
      </c>
      <c r="B123" s="19">
        <v>310</v>
      </c>
      <c r="C123" s="20">
        <f t="shared" si="1"/>
        <v>232.5</v>
      </c>
      <c r="D123" s="21" t="s">
        <v>226</v>
      </c>
    </row>
    <row r="124" spans="1:4">
      <c r="A124" s="22"/>
      <c r="B124" s="19"/>
      <c r="C124" s="20"/>
      <c r="D124" s="21"/>
    </row>
    <row r="125" spans="1:4">
      <c r="A125" s="23" t="s">
        <v>227</v>
      </c>
      <c r="B125" s="19"/>
      <c r="C125" s="20"/>
      <c r="D125" s="21"/>
    </row>
    <row r="126" spans="1:4">
      <c r="A126" s="24" t="s">
        <v>228</v>
      </c>
      <c r="B126" s="3">
        <v>390</v>
      </c>
      <c r="C126" s="20">
        <f t="shared" si="1"/>
        <v>292.5</v>
      </c>
    </row>
    <row r="127" spans="1:4">
      <c r="A127" s="24" t="s">
        <v>229</v>
      </c>
      <c r="B127" s="3">
        <v>750</v>
      </c>
      <c r="C127" s="20">
        <f t="shared" si="1"/>
        <v>562.5</v>
      </c>
    </row>
    <row r="128" spans="1:4">
      <c r="A128" s="24" t="s">
        <v>230</v>
      </c>
      <c r="B128" s="3">
        <v>780</v>
      </c>
      <c r="C128" s="20">
        <f t="shared" si="1"/>
        <v>585</v>
      </c>
    </row>
    <row r="129" spans="1:3">
      <c r="A129" s="24" t="s">
        <v>231</v>
      </c>
      <c r="B129" s="3">
        <v>1350</v>
      </c>
      <c r="C129" s="20">
        <f t="shared" si="1"/>
        <v>1012.5</v>
      </c>
    </row>
    <row r="130" spans="1:3">
      <c r="A130" s="24" t="s">
        <v>232</v>
      </c>
      <c r="B130" s="3">
        <v>880</v>
      </c>
      <c r="C130" s="20">
        <f t="shared" si="1"/>
        <v>660</v>
      </c>
    </row>
    <row r="131" spans="1:3">
      <c r="A131" s="24" t="s">
        <v>233</v>
      </c>
      <c r="B131" s="3">
        <v>1150</v>
      </c>
      <c r="C131" s="20">
        <f t="shared" si="1"/>
        <v>862.5</v>
      </c>
    </row>
    <row r="132" spans="1:3">
      <c r="A132" s="24" t="s">
        <v>234</v>
      </c>
      <c r="B132" s="3">
        <v>560</v>
      </c>
      <c r="C132" s="20">
        <f t="shared" si="1"/>
        <v>420</v>
      </c>
    </row>
    <row r="133" spans="1:3">
      <c r="A133" s="24" t="s">
        <v>235</v>
      </c>
      <c r="B133" s="3">
        <v>2150</v>
      </c>
      <c r="C133" s="20">
        <f t="shared" si="1"/>
        <v>1612.5</v>
      </c>
    </row>
    <row r="134" spans="1:3">
      <c r="A134" s="24" t="s">
        <v>236</v>
      </c>
      <c r="B134" s="3">
        <v>1890</v>
      </c>
      <c r="C134" s="20">
        <f t="shared" si="1"/>
        <v>1417.5</v>
      </c>
    </row>
    <row r="135" spans="1:3">
      <c r="A135" s="24" t="s">
        <v>237</v>
      </c>
      <c r="B135" s="3">
        <v>2960</v>
      </c>
      <c r="C135" s="20">
        <f t="shared" si="1"/>
        <v>2220</v>
      </c>
    </row>
    <row r="136" spans="1:3">
      <c r="A136" s="24" t="s">
        <v>238</v>
      </c>
      <c r="B136" s="3">
        <v>4950</v>
      </c>
      <c r="C136" s="20">
        <f t="shared" si="1"/>
        <v>3712.5</v>
      </c>
    </row>
    <row r="137" spans="1:3">
      <c r="A137" s="24" t="s">
        <v>239</v>
      </c>
      <c r="B137" s="3">
        <v>1250</v>
      </c>
      <c r="C137" s="20">
        <f t="shared" si="1"/>
        <v>937.5</v>
      </c>
    </row>
    <row r="138" spans="1:3">
      <c r="A138" s="24" t="s">
        <v>240</v>
      </c>
      <c r="B138" s="3">
        <v>250</v>
      </c>
      <c r="C138" s="20">
        <f t="shared" si="1"/>
        <v>187.5</v>
      </c>
    </row>
    <row r="139" spans="1:3">
      <c r="A139" s="24" t="s">
        <v>241</v>
      </c>
      <c r="B139" s="3">
        <v>700</v>
      </c>
      <c r="C139" s="20">
        <f t="shared" si="1"/>
        <v>525</v>
      </c>
    </row>
    <row r="140" spans="1:3">
      <c r="A140" s="24" t="s">
        <v>242</v>
      </c>
      <c r="B140" s="3">
        <v>390</v>
      </c>
      <c r="C140" s="20">
        <f t="shared" si="1"/>
        <v>292.5</v>
      </c>
    </row>
    <row r="141" spans="1:3">
      <c r="A141" s="25"/>
      <c r="B141" s="3"/>
      <c r="C141" s="20"/>
    </row>
    <row r="142" spans="1:3">
      <c r="A142" s="25" t="s">
        <v>243</v>
      </c>
      <c r="B142" s="3"/>
      <c r="C142" s="20"/>
    </row>
    <row r="143" spans="1:3">
      <c r="A143" s="26" t="s">
        <v>244</v>
      </c>
      <c r="B143" s="27">
        <v>1500</v>
      </c>
      <c r="C143" s="20">
        <f t="shared" si="1"/>
        <v>1125</v>
      </c>
    </row>
    <row r="144" spans="1:3">
      <c r="A144" s="26" t="s">
        <v>245</v>
      </c>
      <c r="B144" s="27">
        <v>1780</v>
      </c>
      <c r="C144" s="20">
        <f t="shared" si="1"/>
        <v>1335</v>
      </c>
    </row>
    <row r="145" spans="1:3">
      <c r="A145" s="26" t="s">
        <v>246</v>
      </c>
      <c r="B145" s="27">
        <v>1400</v>
      </c>
      <c r="C145" s="20">
        <f t="shared" ref="C145:C211" si="2">B145-(B145*0.25)</f>
        <v>1050</v>
      </c>
    </row>
    <row r="146" spans="1:3">
      <c r="A146" s="26" t="s">
        <v>247</v>
      </c>
      <c r="B146" s="27">
        <v>1590</v>
      </c>
      <c r="C146" s="20">
        <f t="shared" si="2"/>
        <v>1192.5</v>
      </c>
    </row>
    <row r="147" spans="1:3">
      <c r="A147" s="26" t="s">
        <v>248</v>
      </c>
      <c r="B147" s="27">
        <v>1980</v>
      </c>
      <c r="C147" s="20">
        <f t="shared" si="2"/>
        <v>1485</v>
      </c>
    </row>
    <row r="148" spans="1:3">
      <c r="A148" s="26" t="s">
        <v>249</v>
      </c>
      <c r="B148" s="27">
        <v>2100</v>
      </c>
      <c r="C148" s="20">
        <f t="shared" si="2"/>
        <v>1575</v>
      </c>
    </row>
    <row r="149" spans="1:3">
      <c r="A149" s="26" t="s">
        <v>250</v>
      </c>
      <c r="B149" s="27">
        <v>2050</v>
      </c>
      <c r="C149" s="20">
        <f t="shared" si="2"/>
        <v>1537.5</v>
      </c>
    </row>
    <row r="150" spans="1:3">
      <c r="A150" s="26" t="s">
        <v>251</v>
      </c>
      <c r="B150" s="27">
        <v>2050</v>
      </c>
      <c r="C150" s="20">
        <f t="shared" si="2"/>
        <v>1537.5</v>
      </c>
    </row>
    <row r="151" spans="1:3">
      <c r="A151" s="28" t="s">
        <v>252</v>
      </c>
      <c r="B151" s="27">
        <v>2100</v>
      </c>
      <c r="C151" s="20">
        <f t="shared" si="2"/>
        <v>1575</v>
      </c>
    </row>
    <row r="152" spans="1:3">
      <c r="A152" s="28" t="s">
        <v>253</v>
      </c>
      <c r="B152" s="27">
        <v>1462</v>
      </c>
      <c r="C152" s="20">
        <f t="shared" si="2"/>
        <v>1096.5</v>
      </c>
    </row>
    <row r="153" spans="1:3">
      <c r="A153" s="26" t="s">
        <v>254</v>
      </c>
      <c r="B153" s="27">
        <v>2120</v>
      </c>
      <c r="C153" s="20">
        <f t="shared" si="2"/>
        <v>1590</v>
      </c>
    </row>
    <row r="154" spans="1:3">
      <c r="A154" s="26" t="s">
        <v>255</v>
      </c>
      <c r="B154" s="27">
        <v>1900</v>
      </c>
      <c r="C154" s="20">
        <f t="shared" si="2"/>
        <v>1425</v>
      </c>
    </row>
    <row r="155" spans="1:3">
      <c r="A155" s="26" t="s">
        <v>256</v>
      </c>
      <c r="B155" s="27">
        <v>2090</v>
      </c>
      <c r="C155" s="20">
        <f t="shared" si="2"/>
        <v>1567.5</v>
      </c>
    </row>
    <row r="156" spans="1:3">
      <c r="A156" s="26" t="s">
        <v>257</v>
      </c>
      <c r="B156" s="27">
        <v>1740</v>
      </c>
      <c r="C156" s="20">
        <f t="shared" si="2"/>
        <v>1305</v>
      </c>
    </row>
    <row r="157" spans="1:3">
      <c r="A157" s="26" t="s">
        <v>258</v>
      </c>
      <c r="B157" s="27">
        <v>2150</v>
      </c>
      <c r="C157" s="20">
        <f t="shared" si="2"/>
        <v>1612.5</v>
      </c>
    </row>
    <row r="158" spans="1:3">
      <c r="A158" s="26" t="s">
        <v>259</v>
      </c>
      <c r="B158" s="27">
        <v>2150</v>
      </c>
      <c r="C158" s="20">
        <f t="shared" si="2"/>
        <v>1612.5</v>
      </c>
    </row>
    <row r="159" spans="1:3">
      <c r="A159" s="29" t="s">
        <v>260</v>
      </c>
      <c r="B159" s="27">
        <v>1500</v>
      </c>
      <c r="C159" s="20">
        <f t="shared" si="2"/>
        <v>1125</v>
      </c>
    </row>
    <row r="160" spans="1:3">
      <c r="A160" s="26" t="s">
        <v>261</v>
      </c>
      <c r="B160" s="27">
        <v>2960</v>
      </c>
      <c r="C160" s="20">
        <f t="shared" si="2"/>
        <v>2220</v>
      </c>
    </row>
    <row r="161" spans="1:3">
      <c r="A161" s="26" t="s">
        <v>262</v>
      </c>
      <c r="B161" s="27">
        <v>1480</v>
      </c>
      <c r="C161" s="20">
        <f t="shared" si="2"/>
        <v>1110</v>
      </c>
    </row>
    <row r="162" spans="1:3">
      <c r="A162" s="26" t="s">
        <v>263</v>
      </c>
      <c r="B162" s="27">
        <v>2050</v>
      </c>
      <c r="C162" s="20">
        <f t="shared" si="2"/>
        <v>1537.5</v>
      </c>
    </row>
    <row r="163" spans="1:3">
      <c r="A163" s="26" t="s">
        <v>264</v>
      </c>
      <c r="B163" s="27">
        <v>2100</v>
      </c>
      <c r="C163" s="20">
        <f t="shared" si="2"/>
        <v>1575</v>
      </c>
    </row>
    <row r="164" spans="1:3">
      <c r="A164" s="26" t="s">
        <v>265</v>
      </c>
      <c r="B164" s="27">
        <v>2750</v>
      </c>
      <c r="C164" s="20">
        <f t="shared" si="2"/>
        <v>2062.5</v>
      </c>
    </row>
    <row r="165" spans="1:3">
      <c r="A165" s="26" t="s">
        <v>266</v>
      </c>
      <c r="B165" s="27">
        <v>2600</v>
      </c>
      <c r="C165" s="20">
        <f t="shared" si="2"/>
        <v>1950</v>
      </c>
    </row>
    <row r="166" spans="1:3">
      <c r="A166" s="26" t="s">
        <v>267</v>
      </c>
      <c r="B166" s="27">
        <v>2150</v>
      </c>
      <c r="C166" s="20">
        <f t="shared" si="2"/>
        <v>1612.5</v>
      </c>
    </row>
    <row r="167" spans="1:3">
      <c r="A167" s="26" t="s">
        <v>268</v>
      </c>
      <c r="B167" s="27">
        <v>2250</v>
      </c>
      <c r="C167" s="20">
        <f t="shared" si="2"/>
        <v>1687.5</v>
      </c>
    </row>
    <row r="168" spans="1:3">
      <c r="A168" s="26" t="s">
        <v>269</v>
      </c>
      <c r="B168" s="27">
        <v>2250</v>
      </c>
      <c r="C168" s="20">
        <f t="shared" si="2"/>
        <v>1687.5</v>
      </c>
    </row>
    <row r="169" spans="1:3">
      <c r="A169" s="26" t="s">
        <v>270</v>
      </c>
      <c r="B169" s="27">
        <v>1750</v>
      </c>
      <c r="C169" s="20">
        <f t="shared" si="2"/>
        <v>1312.5</v>
      </c>
    </row>
    <row r="170" spans="1:3">
      <c r="A170" s="26" t="s">
        <v>271</v>
      </c>
      <c r="B170" s="27">
        <v>1800</v>
      </c>
      <c r="C170" s="20">
        <f t="shared" si="2"/>
        <v>1350</v>
      </c>
    </row>
    <row r="171" spans="1:3">
      <c r="A171" s="30" t="s">
        <v>272</v>
      </c>
      <c r="B171" s="27">
        <v>2250</v>
      </c>
      <c r="C171" s="20">
        <f t="shared" si="2"/>
        <v>1687.5</v>
      </c>
    </row>
    <row r="172" spans="1:3">
      <c r="A172" s="26" t="s">
        <v>273</v>
      </c>
      <c r="B172" s="27">
        <v>1900</v>
      </c>
      <c r="C172" s="20">
        <f t="shared" si="2"/>
        <v>1425</v>
      </c>
    </row>
    <row r="173" spans="1:3">
      <c r="A173" s="26" t="s">
        <v>274</v>
      </c>
      <c r="B173" s="27">
        <v>1650</v>
      </c>
      <c r="C173" s="20">
        <f t="shared" si="2"/>
        <v>1237.5</v>
      </c>
    </row>
    <row r="174" spans="1:3">
      <c r="A174" s="26" t="s">
        <v>275</v>
      </c>
      <c r="B174" s="27">
        <v>2250</v>
      </c>
      <c r="C174" s="20">
        <f t="shared" si="2"/>
        <v>1687.5</v>
      </c>
    </row>
    <row r="175" spans="1:3">
      <c r="A175" s="26" t="s">
        <v>276</v>
      </c>
      <c r="B175" s="27">
        <v>2100</v>
      </c>
      <c r="C175" s="20">
        <f t="shared" si="2"/>
        <v>1575</v>
      </c>
    </row>
    <row r="176" spans="1:3">
      <c r="A176" s="26" t="s">
        <v>277</v>
      </c>
      <c r="B176" s="27">
        <v>3200</v>
      </c>
      <c r="C176" s="20">
        <f t="shared" si="2"/>
        <v>2400</v>
      </c>
    </row>
    <row r="177" spans="1:3">
      <c r="A177" s="26" t="s">
        <v>278</v>
      </c>
      <c r="B177" s="27">
        <v>2500</v>
      </c>
      <c r="C177" s="20">
        <f t="shared" si="2"/>
        <v>1875</v>
      </c>
    </row>
    <row r="178" spans="1:3">
      <c r="A178" s="26" t="s">
        <v>279</v>
      </c>
      <c r="B178" s="27">
        <v>2250</v>
      </c>
      <c r="C178" s="20">
        <f t="shared" si="2"/>
        <v>1687.5</v>
      </c>
    </row>
    <row r="179" spans="1:3">
      <c r="A179" s="26" t="s">
        <v>280</v>
      </c>
      <c r="B179" s="27">
        <v>1497</v>
      </c>
      <c r="C179" s="20">
        <f t="shared" si="2"/>
        <v>1122.75</v>
      </c>
    </row>
    <row r="180" spans="1:3">
      <c r="A180" s="26" t="s">
        <v>281</v>
      </c>
      <c r="B180" s="27">
        <v>1950</v>
      </c>
      <c r="C180" s="20">
        <f t="shared" si="2"/>
        <v>1462.5</v>
      </c>
    </row>
    <row r="181" spans="1:3">
      <c r="A181" s="26" t="s">
        <v>282</v>
      </c>
      <c r="B181" s="27">
        <v>1700</v>
      </c>
      <c r="C181" s="20">
        <f t="shared" si="2"/>
        <v>1275</v>
      </c>
    </row>
    <row r="182" spans="1:3">
      <c r="A182" s="26" t="s">
        <v>283</v>
      </c>
      <c r="B182" s="27">
        <v>1650</v>
      </c>
      <c r="C182" s="20">
        <f t="shared" si="2"/>
        <v>1237.5</v>
      </c>
    </row>
    <row r="183" spans="1:3">
      <c r="A183" s="26" t="s">
        <v>284</v>
      </c>
      <c r="B183" s="27">
        <v>1850</v>
      </c>
      <c r="C183" s="20">
        <f t="shared" si="2"/>
        <v>1387.5</v>
      </c>
    </row>
    <row r="184" spans="1:3">
      <c r="A184" s="26" t="s">
        <v>285</v>
      </c>
      <c r="B184" s="27">
        <v>2250</v>
      </c>
      <c r="C184" s="20">
        <f t="shared" si="2"/>
        <v>1687.5</v>
      </c>
    </row>
    <row r="185" spans="1:3">
      <c r="A185" s="26" t="s">
        <v>286</v>
      </c>
      <c r="B185" s="27">
        <v>2050</v>
      </c>
      <c r="C185" s="20">
        <f t="shared" si="2"/>
        <v>1537.5</v>
      </c>
    </row>
    <row r="186" spans="1:3">
      <c r="A186" s="26" t="s">
        <v>287</v>
      </c>
      <c r="B186" s="27">
        <v>1500</v>
      </c>
      <c r="C186" s="20">
        <f t="shared" si="2"/>
        <v>1125</v>
      </c>
    </row>
    <row r="187" spans="1:3">
      <c r="A187" s="26" t="s">
        <v>288</v>
      </c>
      <c r="B187" s="27">
        <v>1570</v>
      </c>
      <c r="C187" s="20">
        <f t="shared" si="2"/>
        <v>1177.5</v>
      </c>
    </row>
    <row r="188" spans="1:3">
      <c r="A188" s="26" t="s">
        <v>289</v>
      </c>
      <c r="B188" s="27">
        <v>1855</v>
      </c>
      <c r="C188" s="20">
        <f t="shared" si="2"/>
        <v>1391.25</v>
      </c>
    </row>
    <row r="189" spans="1:3">
      <c r="A189" s="26" t="s">
        <v>290</v>
      </c>
      <c r="B189" s="27">
        <v>1457.7</v>
      </c>
      <c r="C189" s="20">
        <f t="shared" si="2"/>
        <v>1093.2750000000001</v>
      </c>
    </row>
    <row r="190" spans="1:3">
      <c r="A190" s="26" t="s">
        <v>291</v>
      </c>
      <c r="B190" s="27">
        <v>1850</v>
      </c>
      <c r="C190" s="20">
        <f t="shared" si="2"/>
        <v>1387.5</v>
      </c>
    </row>
    <row r="191" spans="1:3">
      <c r="A191" s="26" t="s">
        <v>292</v>
      </c>
      <c r="B191" s="27">
        <v>2050</v>
      </c>
      <c r="C191" s="20">
        <f t="shared" si="2"/>
        <v>1537.5</v>
      </c>
    </row>
    <row r="192" spans="1:3">
      <c r="A192" s="26" t="s">
        <v>293</v>
      </c>
      <c r="B192" s="27">
        <v>2900</v>
      </c>
      <c r="C192" s="20">
        <f t="shared" si="2"/>
        <v>2175</v>
      </c>
    </row>
    <row r="193" spans="1:3">
      <c r="A193" s="26" t="s">
        <v>294</v>
      </c>
      <c r="B193" s="27">
        <v>2950</v>
      </c>
      <c r="C193" s="20">
        <f t="shared" si="2"/>
        <v>2212.5</v>
      </c>
    </row>
    <row r="194" spans="1:3">
      <c r="A194" s="26" t="s">
        <v>295</v>
      </c>
      <c r="B194" s="27">
        <v>2250</v>
      </c>
      <c r="C194" s="20">
        <f t="shared" si="2"/>
        <v>1687.5</v>
      </c>
    </row>
    <row r="195" spans="1:3">
      <c r="A195" s="26" t="s">
        <v>296</v>
      </c>
      <c r="B195" s="27">
        <v>2250</v>
      </c>
      <c r="C195" s="20">
        <f t="shared" si="2"/>
        <v>1687.5</v>
      </c>
    </row>
    <row r="196" spans="1:3">
      <c r="A196" s="26" t="s">
        <v>297</v>
      </c>
      <c r="B196" s="27">
        <v>1900</v>
      </c>
      <c r="C196" s="20">
        <f t="shared" si="2"/>
        <v>1425</v>
      </c>
    </row>
    <row r="197" spans="1:3">
      <c r="A197" s="26" t="s">
        <v>298</v>
      </c>
      <c r="B197" s="27">
        <v>2950</v>
      </c>
      <c r="C197" s="20">
        <f t="shared" si="2"/>
        <v>2212.5</v>
      </c>
    </row>
    <row r="198" spans="1:3">
      <c r="A198" s="26" t="s">
        <v>299</v>
      </c>
      <c r="B198" s="27">
        <v>2150</v>
      </c>
      <c r="C198" s="20">
        <f t="shared" si="2"/>
        <v>1612.5</v>
      </c>
    </row>
    <row r="199" spans="1:3">
      <c r="A199" s="26" t="s">
        <v>300</v>
      </c>
      <c r="B199" s="27">
        <v>1800</v>
      </c>
      <c r="C199" s="20">
        <f t="shared" si="2"/>
        <v>1350</v>
      </c>
    </row>
    <row r="200" spans="1:3">
      <c r="A200" s="26" t="s">
        <v>301</v>
      </c>
      <c r="B200" s="27">
        <v>1900</v>
      </c>
      <c r="C200" s="20">
        <f t="shared" si="2"/>
        <v>1425</v>
      </c>
    </row>
    <row r="201" spans="1:3">
      <c r="A201" s="26" t="s">
        <v>302</v>
      </c>
      <c r="B201" s="31">
        <v>2550</v>
      </c>
      <c r="C201" s="20">
        <f t="shared" si="2"/>
        <v>1912.5</v>
      </c>
    </row>
    <row r="202" spans="1:3">
      <c r="A202" s="26" t="s">
        <v>303</v>
      </c>
      <c r="B202" s="27">
        <v>2150</v>
      </c>
      <c r="C202" s="4">
        <f t="shared" si="2"/>
        <v>1612.5</v>
      </c>
    </row>
    <row r="203" spans="1:3">
      <c r="A203" s="32" t="s">
        <v>304</v>
      </c>
      <c r="B203" s="27">
        <v>1570</v>
      </c>
      <c r="C203" s="4">
        <f t="shared" si="2"/>
        <v>1177.5</v>
      </c>
    </row>
    <row r="204" spans="1:3">
      <c r="A204" s="26" t="s">
        <v>305</v>
      </c>
      <c r="B204" s="33">
        <v>6323.86</v>
      </c>
      <c r="C204" s="4">
        <f t="shared" si="2"/>
        <v>4742.8949999999995</v>
      </c>
    </row>
    <row r="205" spans="1:3">
      <c r="A205" s="26" t="s">
        <v>306</v>
      </c>
      <c r="B205" s="33">
        <v>2615.29</v>
      </c>
      <c r="C205" s="4">
        <f t="shared" si="2"/>
        <v>1961.4675</v>
      </c>
    </row>
    <row r="206" spans="1:3">
      <c r="A206" s="26" t="s">
        <v>307</v>
      </c>
      <c r="B206" s="33">
        <v>2393.16</v>
      </c>
      <c r="C206" s="4">
        <f t="shared" si="2"/>
        <v>1794.87</v>
      </c>
    </row>
    <row r="207" spans="1:3">
      <c r="A207" s="34"/>
      <c r="B207" s="33"/>
      <c r="C207" s="4"/>
    </row>
    <row r="208" spans="1:3">
      <c r="A208" s="35" t="s">
        <v>308</v>
      </c>
      <c r="B208" s="33"/>
      <c r="C208" s="4"/>
    </row>
    <row r="209" spans="1:3">
      <c r="A209" s="36" t="s">
        <v>309</v>
      </c>
      <c r="B209" s="33">
        <v>2874.67</v>
      </c>
      <c r="C209" s="4">
        <f t="shared" si="2"/>
        <v>2156.0025000000001</v>
      </c>
    </row>
    <row r="210" spans="1:3">
      <c r="A210" s="36" t="s">
        <v>310</v>
      </c>
      <c r="B210" s="33">
        <v>4394.54</v>
      </c>
      <c r="C210" s="4">
        <f t="shared" si="2"/>
        <v>3295.9049999999997</v>
      </c>
    </row>
    <row r="211" spans="1:3">
      <c r="A211" s="36" t="s">
        <v>311</v>
      </c>
      <c r="B211" s="33">
        <v>3054.74</v>
      </c>
      <c r="C211" s="4">
        <f t="shared" si="2"/>
        <v>2291.0549999999998</v>
      </c>
    </row>
    <row r="212" spans="1:3">
      <c r="A212" s="36" t="s">
        <v>312</v>
      </c>
      <c r="B212" s="33">
        <v>1843.56</v>
      </c>
      <c r="C212" s="4">
        <f t="shared" ref="C212:C228" si="3">B212-(B212*0.25)</f>
        <v>1382.67</v>
      </c>
    </row>
    <row r="213" spans="1:3">
      <c r="A213" s="36" t="s">
        <v>313</v>
      </c>
      <c r="B213" s="33">
        <v>3633.54</v>
      </c>
      <c r="C213" s="4">
        <f t="shared" si="3"/>
        <v>2725.1549999999997</v>
      </c>
    </row>
    <row r="214" spans="1:3">
      <c r="A214" s="36" t="s">
        <v>314</v>
      </c>
      <c r="B214" s="33">
        <v>2546.69</v>
      </c>
      <c r="C214" s="4">
        <f t="shared" si="3"/>
        <v>1910.0174999999999</v>
      </c>
    </row>
    <row r="215" spans="1:3">
      <c r="A215" s="36" t="s">
        <v>315</v>
      </c>
      <c r="B215" s="33">
        <v>2238</v>
      </c>
      <c r="C215" s="4">
        <f t="shared" si="3"/>
        <v>1678.5</v>
      </c>
    </row>
    <row r="216" spans="1:3">
      <c r="A216" s="36" t="s">
        <v>316</v>
      </c>
      <c r="B216" s="33">
        <v>1907.88</v>
      </c>
      <c r="C216" s="4">
        <f t="shared" si="3"/>
        <v>1430.91</v>
      </c>
    </row>
    <row r="217" spans="1:3">
      <c r="A217" s="36" t="s">
        <v>317</v>
      </c>
      <c r="B217" s="33">
        <v>1717.09</v>
      </c>
      <c r="C217" s="4">
        <f t="shared" si="3"/>
        <v>1287.8174999999999</v>
      </c>
    </row>
    <row r="218" spans="1:3">
      <c r="A218" s="36" t="s">
        <v>318</v>
      </c>
      <c r="B218" s="33">
        <v>1697.79</v>
      </c>
      <c r="C218" s="4">
        <f t="shared" si="3"/>
        <v>1273.3425</v>
      </c>
    </row>
    <row r="219" spans="1:3">
      <c r="A219" s="36" t="s">
        <v>319</v>
      </c>
      <c r="B219" s="33">
        <v>1843.56</v>
      </c>
      <c r="C219" s="4">
        <f t="shared" si="3"/>
        <v>1382.67</v>
      </c>
    </row>
    <row r="220" spans="1:3">
      <c r="A220" s="36" t="s">
        <v>320</v>
      </c>
      <c r="B220" s="33">
        <v>4265.92</v>
      </c>
      <c r="C220" s="4">
        <f t="shared" si="3"/>
        <v>3199.44</v>
      </c>
    </row>
    <row r="221" spans="1:3">
      <c r="A221" s="36" t="s">
        <v>321</v>
      </c>
      <c r="B221" s="33">
        <v>3730</v>
      </c>
      <c r="C221" s="4">
        <f t="shared" si="3"/>
        <v>2797.5</v>
      </c>
    </row>
    <row r="222" spans="1:3">
      <c r="A222" s="34"/>
      <c r="B222" s="33"/>
      <c r="C222" s="4"/>
    </row>
    <row r="223" spans="1:3">
      <c r="A223" s="35" t="s">
        <v>322</v>
      </c>
      <c r="B223" s="33"/>
      <c r="C223" s="4"/>
    </row>
    <row r="224" spans="1:3">
      <c r="A224" s="37" t="s">
        <v>323</v>
      </c>
      <c r="B224" s="33">
        <v>3644.26</v>
      </c>
      <c r="C224" s="4">
        <f t="shared" si="3"/>
        <v>2733.1950000000002</v>
      </c>
    </row>
    <row r="225" spans="1:3">
      <c r="A225" s="37" t="s">
        <v>324</v>
      </c>
      <c r="B225" s="33">
        <v>3858.62</v>
      </c>
      <c r="C225" s="4">
        <f t="shared" si="3"/>
        <v>2893.9650000000001</v>
      </c>
    </row>
    <row r="226" spans="1:3">
      <c r="A226" s="37" t="s">
        <v>325</v>
      </c>
      <c r="B226" s="33">
        <v>5037.6499999999996</v>
      </c>
      <c r="C226" s="4">
        <f t="shared" si="3"/>
        <v>3778.2374999999997</v>
      </c>
    </row>
    <row r="227" spans="1:3">
      <c r="A227" s="37" t="s">
        <v>326</v>
      </c>
      <c r="B227" s="33">
        <v>2840.38</v>
      </c>
      <c r="C227" s="4">
        <f t="shared" si="3"/>
        <v>2130.2849999999999</v>
      </c>
    </row>
    <row r="228" spans="1:3">
      <c r="A228" s="37" t="s">
        <v>327</v>
      </c>
      <c r="B228" s="33">
        <v>3443.82</v>
      </c>
      <c r="C228" s="4">
        <f t="shared" si="3"/>
        <v>2582.8650000000002</v>
      </c>
    </row>
    <row r="229" spans="1:3">
      <c r="A229" s="38"/>
      <c r="B229" s="39"/>
      <c r="C229" s="40"/>
    </row>
    <row r="230" spans="1:3">
      <c r="A230" s="38" t="s">
        <v>328</v>
      </c>
      <c r="B230" s="39"/>
      <c r="C230" s="40"/>
    </row>
    <row r="231" spans="1:3">
      <c r="A231" s="41" t="s">
        <v>329</v>
      </c>
      <c r="B231" s="40">
        <v>650</v>
      </c>
      <c r="C231" s="42">
        <v>388</v>
      </c>
    </row>
    <row r="232" spans="1:3">
      <c r="A232" s="41" t="s">
        <v>330</v>
      </c>
      <c r="B232" s="40">
        <v>550</v>
      </c>
      <c r="C232" s="42"/>
    </row>
    <row r="233" spans="1:3">
      <c r="A233" s="41" t="s">
        <v>331</v>
      </c>
      <c r="B233" s="40">
        <v>900</v>
      </c>
      <c r="C233" s="42"/>
    </row>
    <row r="234" spans="1:3">
      <c r="A234" s="38"/>
      <c r="B234" s="40"/>
      <c r="C234" s="42"/>
    </row>
    <row r="235" spans="1:3">
      <c r="A235" s="38" t="s">
        <v>332</v>
      </c>
      <c r="B235" s="40"/>
      <c r="C235" s="42"/>
    </row>
    <row r="236" spans="1:3">
      <c r="A236" s="43" t="s">
        <v>333</v>
      </c>
      <c r="B236" s="44">
        <v>470</v>
      </c>
      <c r="C236" s="45">
        <v>420</v>
      </c>
    </row>
    <row r="237" spans="1:3">
      <c r="A237" s="43" t="s">
        <v>334</v>
      </c>
      <c r="B237" s="44">
        <v>470</v>
      </c>
      <c r="C237" s="45">
        <v>420</v>
      </c>
    </row>
    <row r="238" spans="1:3">
      <c r="A238" s="43" t="s">
        <v>335</v>
      </c>
      <c r="B238" s="44">
        <v>470</v>
      </c>
      <c r="C238" s="45">
        <v>420</v>
      </c>
    </row>
    <row r="239" spans="1:3">
      <c r="A239" s="43" t="s">
        <v>336</v>
      </c>
      <c r="B239" s="44">
        <v>490</v>
      </c>
      <c r="C239" s="45">
        <v>440</v>
      </c>
    </row>
    <row r="240" spans="1:3">
      <c r="A240" s="43" t="s">
        <v>337</v>
      </c>
      <c r="B240" s="44">
        <v>490</v>
      </c>
      <c r="C240" s="45">
        <v>440</v>
      </c>
    </row>
    <row r="241" spans="1:3">
      <c r="A241" s="43" t="s">
        <v>338</v>
      </c>
      <c r="B241" s="44">
        <v>500</v>
      </c>
      <c r="C241" s="45">
        <v>450</v>
      </c>
    </row>
    <row r="242" spans="1:3">
      <c r="A242" s="43" t="s">
        <v>339</v>
      </c>
      <c r="B242" s="44">
        <v>500</v>
      </c>
      <c r="C242" s="45">
        <v>450</v>
      </c>
    </row>
    <row r="243" spans="1:3">
      <c r="A243" s="43" t="s">
        <v>340</v>
      </c>
      <c r="B243" s="44">
        <v>520</v>
      </c>
      <c r="C243" s="45">
        <v>470</v>
      </c>
    </row>
    <row r="244" spans="1:3">
      <c r="A244" s="43" t="s">
        <v>341</v>
      </c>
      <c r="B244" s="44">
        <v>530</v>
      </c>
      <c r="C244" s="45">
        <v>480</v>
      </c>
    </row>
    <row r="245" spans="1:3">
      <c r="A245" s="43" t="s">
        <v>342</v>
      </c>
      <c r="B245" s="44">
        <v>550</v>
      </c>
      <c r="C245" s="45">
        <v>500</v>
      </c>
    </row>
    <row r="246" spans="1:3">
      <c r="A246" s="43" t="s">
        <v>343</v>
      </c>
      <c r="B246" s="44">
        <v>580</v>
      </c>
      <c r="C246" s="45">
        <v>530</v>
      </c>
    </row>
    <row r="247" spans="1:3">
      <c r="A247" s="43" t="s">
        <v>344</v>
      </c>
      <c r="B247" s="44">
        <v>620</v>
      </c>
      <c r="C247" s="45">
        <v>570</v>
      </c>
    </row>
    <row r="248" spans="1:3">
      <c r="A248" s="43" t="s">
        <v>345</v>
      </c>
      <c r="B248" s="44">
        <v>620</v>
      </c>
      <c r="C248" s="45">
        <v>570</v>
      </c>
    </row>
    <row r="249" spans="1:3">
      <c r="A249" s="43" t="s">
        <v>346</v>
      </c>
      <c r="B249" s="44">
        <v>630</v>
      </c>
      <c r="C249" s="45">
        <v>580</v>
      </c>
    </row>
    <row r="250" spans="1:3">
      <c r="A250" s="43" t="s">
        <v>347</v>
      </c>
      <c r="B250" s="44">
        <v>630</v>
      </c>
      <c r="C250" s="45">
        <v>580</v>
      </c>
    </row>
    <row r="251" spans="1:3">
      <c r="A251" s="43" t="s">
        <v>348</v>
      </c>
      <c r="B251" s="44">
        <v>690</v>
      </c>
      <c r="C251" s="45">
        <v>640</v>
      </c>
    </row>
    <row r="252" spans="1:3">
      <c r="A252" s="46" t="s">
        <v>349</v>
      </c>
      <c r="B252" s="44">
        <v>250</v>
      </c>
      <c r="C252" s="45">
        <v>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7" master="">
    <arrUserId title="Range29" rangeCreator="" othersAccessPermission="edit"/>
    <arrUserId title="REQUEST" rangeCreator="" othersAccessPermission="edit"/>
    <arrUserId title="REQUEST_2" rangeCreator="" othersAccessPermission="edit"/>
  </rangeList>
  <rangeList sheetStid="9" master=""/>
  <rangeList sheetStid="4" master=""/>
  <rangeList sheetStid="13" master=""/>
  <rangeList sheetStid="2" master=""/>
  <rangeList sheetStid="12" master=""/>
  <rangeList sheetStid="11" master=""/>
  <rangeList sheetStid="14"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JOB ORDER</vt:lpstr>
      <vt:lpstr>BILLING</vt:lpstr>
      <vt:lpstr>JOB ESTIMATE</vt:lpstr>
      <vt:lpstr>SCANNED DOCS</vt:lpstr>
      <vt:lpstr>JOB REQUEST TECH</vt:lpstr>
      <vt:lpstr>PMRIS</vt:lpstr>
      <vt:lpstr>UPDATE SHEET</vt:lpstr>
      <vt:lpstr>SCANNED DOCS (2)</vt:lpstr>
      <vt:lpstr>PRICE</vt:lpstr>
      <vt:lpstr>BILLING!Print_Area</vt:lpstr>
      <vt:lpstr>'JOB ESTIMATE'!Print_Area</vt:lpstr>
      <vt:lpstr>'JOB ORDER'!Print_Area</vt:lpstr>
      <vt:lpstr>'JOB REQUEST TECH'!Print_Area</vt:lpstr>
      <vt:lpstr>'UPDATE SHEET'!Print_Area</vt:lpstr>
      <vt:lpstr>BILLING!Print_Titles</vt:lpstr>
      <vt:lpstr>'JOB ESTIMATE'!Print_Titles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M1</cp:lastModifiedBy>
  <cp:lastPrinted>2025-07-22T05:44:18Z</cp:lastPrinted>
  <dcterms:created xsi:type="dcterms:W3CDTF">2016-07-18T02:54:00Z</dcterms:created>
  <dcterms:modified xsi:type="dcterms:W3CDTF">2026-05-13T01:28:06Z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CEAA557D0E3B47F69DF03702FBC0AB38_12</vt:lpwstr>
  </property>
  <property fmtid="{D5CDD505-2E9C-101B-9397-08002B2CF9AE}" pid="3" name="KSOProductBuildVer">
    <vt:lpwstr>1033-12.2.0.17119</vt:lpwstr>
  </property>
</Properties>
</file>